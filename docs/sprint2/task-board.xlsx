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Таблиця_задач_С2" sheetId="1" state="visible" r:id="rId2"/>
    <sheet name="Розподіл_розділів_SR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<sst xmlns="http://schemas.openxmlformats.org/spreadsheetml/2006/main" count="169" uniqueCount="80">
  <si>
    <t xml:space="preserve">Таблиця розподілу задач — Спринт 2 «Аудит вимог і стратегія тестування»</t>
  </si>
  <si>
    <t xml:space="preserve">Команда: Група D | Продукт: П2 «ФінКит» (finkit) | Репозиторій: https://github.com/0ffmama/FinKit | КТ/СМ — Фомін Т. В., ТА — Бугай Д. С., ІТ — Гонтар М. П.</t>
  </si>
  <si>
    <t xml:space="preserve">№</t>
  </si>
  <si>
    <t xml:space="preserve">Задача / підзадача</t>
  </si>
  <si>
    <t xml:space="preserve">Роль</t>
  </si>
  <si>
    <t xml:space="preserve">Виконавець</t>
  </si>
  <si>
    <t xml:space="preserve">Оцінка, год</t>
  </si>
  <si>
    <t xml:space="preserve">Факт, год</t>
  </si>
  <si>
    <t xml:space="preserve">Статус</t>
  </si>
  <si>
    <t xml:space="preserve">Артефакт / посилання</t>
  </si>
  <si>
    <t xml:space="preserve">Рецензент</t>
  </si>
  <si>
    <t xml:space="preserve">Створити папку docs/sprint2/ на GitHub, перенести вихідну SRS_02_ФінКит.pdf та підготувати шаблони артефактів (requirements-defects.xlsx, SRS-1.1.md, test-plan.md)</t>
  </si>
  <si>
    <t xml:space="preserve">ІТ</t>
  </si>
  <si>
    <t xml:space="preserve">Гонтар М. П.</t>
  </si>
  <si>
    <t xml:space="preserve">Done</t>
  </si>
  <si>
    <t xml:space="preserve">docs/sprint2/</t>
  </si>
  <si>
    <t xml:space="preserve">Фомін Т. В.</t>
  </si>
  <si>
    <t xml:space="preserve">Створити Таблицю розподілу задач Спринта 2 (task-board.xlsx, tasks.md), оновити Статут команди (charter.md) та зафіксувати матрицю розподілу розділів SRS 1.0</t>
  </si>
  <si>
    <t xml:space="preserve">КТ/СМ</t>
  </si>
  <si>
    <t xml:space="preserve">docs/sprint2/tasks.md</t>
  </si>
  <si>
    <t xml:space="preserve">Бугай Д. С.</t>
  </si>
  <si>
    <t xml:space="preserve">Провести незалежний аудит Розділів 1–2 (Вступ, Загальний опис) та Розділу 3 (Функціональні вимоги F-10..F-140) у власному аркуші Аркуш_Фомін</t>
  </si>
  <si>
    <t xml:space="preserve">docs/sprint2/requirements-defects.xlsx#Аркуш_Фомін</t>
  </si>
  <si>
    <t xml:space="preserve">Провести незалежний аудит Розділу 4 (Інтерфейс користувача GUI-10..GUI-80) та міжрозділової узгодженості F ↔ GUI у власному аркуші Аркуш_Фомін</t>
  </si>
  <si>
    <t xml:space="preserve">Провести незалежний аудит Розділів 1–2 (Вступ, Загальний опис) та Розділу 3 (Функціональні вимоги F-10..F-140) у власному аркуші Аркуш_Бугай</t>
  </si>
  <si>
    <t xml:space="preserve">ТА</t>
  </si>
  <si>
    <t xml:space="preserve">docs/sprint2/requirements-defects.xlsx#Аркуш_Бугай</t>
  </si>
  <si>
    <t xml:space="preserve">Провести незалежний аудит Розділу 5 (Бізнес-логіка BL-10..BL-80) та Розділу 6 (Нефункціональні вимоги P, S, U, D) у власному аркуші Аркуш_Бугай</t>
  </si>
  <si>
    <t xml:space="preserve">Провести незалежний аудит Розділу 4 (Інтерфейс користувача GUI-10..GUI-80) та Розділу 5 (Бізнес-логіка модуля BL-10..BL-80) у власному аркуші Аркуш_Гонтар</t>
  </si>
  <si>
    <t xml:space="preserve">docs/sprint2/requirements-defects.xlsx#Аркуш_Гонтар</t>
  </si>
  <si>
    <t xml:space="preserve">Провести незалежний аудит Розділу 6 (Нефункціональні вимоги P, S, U, D) та міжрозділової узгодженості F ↔ GUI ↔ BL у власному аркуші Аркуш_Гонтар</t>
  </si>
  <si>
    <t xml:space="preserve">Звести 3 особисті аркуші в єдиний Реєстр дефектів вимог (requirements-defects.md / .xlsx): дедуплікація, класифікація за 6 критеріями (24 дефекти, по 4 на критерій), виділення спірних</t>
  </si>
  <si>
    <t xml:space="preserve">docs/sprint2/requirements-defects.md</t>
  </si>
  <si>
    <t xml:space="preserve">Модерувати обговорення спірних дефектів («адвокат замовника»), затвердити Реєстр дефектів та сформувати список питань замовнику (Q-01..Q-04)</t>
  </si>
  <si>
    <t xml:space="preserve">Підготувати виправлену специфікацію вимог SRS-1.1.md із Журналом змін на початку (23 рядки) та дослівним збереженням незмінених вимог SRS 1.0</t>
  </si>
  <si>
    <t xml:space="preserve">docs/sprint2/SRS-1.1.md</t>
  </si>
  <si>
    <t xml:space="preserve">Скласти План тестування (частина 1): Розділ 1 (продукт «ФінКит» і межі) та Таблиця 7.1 — усі 7 рівнів тестування з Ціллю, Описом, пріоритетами та інструментами</t>
  </si>
  <si>
    <t xml:space="preserve">docs/sprint2/test-plan.md</t>
  </si>
  <si>
    <t xml:space="preserve">Скласти План тестування (частина 2): Таблиця 7.2 — 20 застосовних типів тестування для «ФінКит» та обґрунтування 4 незастосовних типів природою продукту</t>
  </si>
  <si>
    <t xml:space="preserve">Скласти План тестування (частина 3): Розділ 5 (середовище, тестові дані за правилами Додатка 9) та Розділ 6 (ризики скидання даних ParaBank і припущення)</t>
  </si>
  <si>
    <t xml:space="preserve">Провести peer review Реєстру дефектів вимог (requirements-defects.md) та виправленої SRS-1.1.md (порядкова звірка з SRS 1.0, прив'язка кожної правки до № дефекту)</t>
  </si>
  <si>
    <t xml:space="preserve">Провести peer review Плану тестування (test-plan.md): перевірка специфічності «Цілі» та «Опису» для «ФінКит» і обґрунтування незастосовних типів природою продукту</t>
  </si>
  <si>
    <t xml:space="preserve">Внести правки в артефакти (SRS-1.1.md, test-plan.md, requirements-defects.md) за результатами рев'ю та оформити docs/sprint2/README.md з прямими посиланнями</t>
  </si>
  <si>
    <t xml:space="preserve">docs/sprint2/README.md</t>
  </si>
  <si>
    <t xml:space="preserve">Перевірити готовність усього інкременту Спринта 2 (Досьє якості v2) на відповідність критеріям Definition of Done (DoD)</t>
  </si>
  <si>
    <t xml:space="preserve">Підготовка до Демо (сценарій виступу на 10 хв: контекст, 3 показові дефекти, журнал змін SRS 1.1, план тестування) та тренування 12 бліц-питань</t>
  </si>
  <si>
    <t xml:space="preserve">Всі</t>
  </si>
  <si>
    <t xml:space="preserve">-</t>
  </si>
  <si>
    <t xml:space="preserve">Проведення Демо, заповнення анонімної форми peer-review та протоколу ретроспективи (retro.md / retro-sprint2.md)</t>
  </si>
  <si>
    <t xml:space="preserve">docs/sprint2/retro.md</t>
  </si>
  <si>
    <t xml:space="preserve">Разом за спринт</t>
  </si>
  <si>
    <t xml:space="preserve">Матриця подвійного незалежного аудиту SRS 1.0 («ФінКит»)</t>
  </si>
  <si>
    <t xml:space="preserve">Кожен розділ SRS 1.0 перевіряють двоє учасників незалежно за 6 критеріями якості вимог у власних аркушах (КТ/СМ — Фомін Т. В., ТА — Бугай Д. С., ІТ — Гонтар М. П.)</t>
  </si>
  <si>
    <t xml:space="preserve">Розділ SRS_02_ФінКит</t>
  </si>
  <si>
    <t xml:space="preserve">Ідентифікатори / пункти</t>
  </si>
  <si>
    <t xml:space="preserve">Кількість вимог</t>
  </si>
  <si>
    <t xml:space="preserve">Перевіряючий 1 (Особистий аркуш)</t>
  </si>
  <si>
    <t xml:space="preserve">Перевіряючий 2 (Особистий аркуш)</t>
  </si>
  <si>
    <t xml:space="preserve">Знайдені дефекти (ID вимог)</t>
  </si>
  <si>
    <t xml:space="preserve">Розділ 1. Вступ + Розділ 2. Загальний опис</t>
  </si>
  <si>
    <t xml:space="preserve">п. 1.1–1.4, п. 2.1–2.3</t>
  </si>
  <si>
    <t xml:space="preserve">Фомін Т. В. (Аркуш_Фомін)</t>
  </si>
  <si>
    <t xml:space="preserve">Бугай Д. С. (Аркуш_Бугай)</t>
  </si>
  <si>
    <t xml:space="preserve">Перевірка термінів (IBAN, Денний ліміт, Овердрафт, РНОКПП) та припущень п. 2.3 як бази для F, GUI, BL</t>
  </si>
  <si>
    <t xml:space="preserve">Розділ 3. Функціональні вимоги</t>
  </si>
  <si>
    <t xml:space="preserve">F-10 .. F-140</t>
  </si>
  <si>
    <t xml:space="preserve">F-30 (суперечність із GUI-20), F-50 (неіснуючий ФК-РВ-2), F-70 (неповнота реакцій + суперечність ліміту 100 000 vs 50 000 грн), F-80 (реєстри всіх банків світу), F-90 («стандартний формат»), F-110 (500 грн vs 1 000 грн), F-130/F-140 (дублікат)</t>
  </si>
  <si>
    <t xml:space="preserve">Розділ 4. Вимоги до інтерфейсу користувача</t>
  </si>
  <si>
    <t xml:space="preserve">GUI-10 .. GUI-80</t>
  </si>
  <si>
    <t xml:space="preserve">Гонтар М. П. (Аркуш_Гонтар)</t>
  </si>
  <si>
    <t xml:space="preserve">GUI-20 (суперечність із F-30), GUI-30 (які поля обов'язкові), GUI-40 (дубль ID двічі), GUI-50 («некоректно», «помітним кольором»), GUI-60 (неповнота валідації), GUI-70 («інтуїтивно зрозумілою»), Рядок без ID після GUI-70, GUI-80 (8 год vs 15 хв у S-10)</t>
  </si>
  <si>
    <t xml:space="preserve">Розділ 5. Вимоги до бізнес-логіки модуля</t>
  </si>
  <si>
    <t xml:space="preserve">BL-10 .. BL-80</t>
  </si>
  <si>
    <t xml:space="preserve">BL-30 (1 000 грн vs 500 грн у F-110), BL-40 (50 000 грн vs 100 000 грн у F-70), BL-50 (неоднозначність формату IBAN), BL-60 (реєстр НБУ без мережі), BL-70 (відсутня реакція на овердрафт та історія), BL-80 («без помилок за будь-яких даних»)</t>
  </si>
  <si>
    <t xml:space="preserve">Розділ 6. Нефункціональні вимоги</t>
  </si>
  <si>
    <t xml:space="preserve">P-10..20, S-10..20, U-10..20, D-10..20</t>
  </si>
  <si>
    <t xml:space="preserve">P-10 (0,1 с на 2G), P-20 («великі обсяги без відчутної деградації»), S-10 (15 хв vs 8 год у GUI-80), S-20 («100 % захист»), U-10 («зручним і приємним»), D-10 («повною і зрозумілою»), D-20 (посилання на неіснуючі F-150, F-160)</t>
  </si>
  <si>
    <t xml:space="preserve">Усього пунктів / вимог для аудиту</t>
  </si>
  <si>
    <t xml:space="preserve">Кожен розділ = 2 аудитори</t>
  </si>
  <si>
    <t xml:space="preserve">Усього знайдено: 24 підтверджені дефекти (по 4 на кожний із 6 критеріїв)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</si>
</sst>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3152C"/>
      <name val="Calibri"/>
      <family val="0"/>
      <charset val="1"/>
    </font>
    <font>
      <i val="true"/>
      <sz val="10"/>
      <color rgb="FF4A3B5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F1F1F"/>
      <name val="Calibri"/>
      <family val="0"/>
      <charset val="1"/>
    </font>
    <font>
      <b val="true"/>
      <sz val="10"/>
      <color rgb="FF1F1F1F"/>
      <name val="Calibri"/>
      <family val="0"/>
      <charset val="1"/>
    </font>
    <font>
      <u val="single"/>
      <sz val="10"/>
      <color rgb="FF1155CC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B234A"/>
        <bgColor rgb="FF23152C"/>
      </patternFill>
    </fill>
    <fill>
      <patternFill patternType="solid">
        <fgColor rgb="FFD1E7DD"/>
        <bgColor rgb="FFEAE4F0"/>
      </patternFill>
    </fill>
    <fill>
      <patternFill patternType="solid">
        <fgColor rgb="FFF8F6FA"/>
        <bgColor rgb="FFFFFFFF"/>
      </patternFill>
    </fill>
    <fill>
      <patternFill patternType="solid">
        <fgColor rgb="FFEAE4F0"/>
        <bgColor rgb="FFD1E7D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4CCE0"/>
      </left>
      <right style="thin">
        <color rgb="FFD4CCE0"/>
      </right>
      <top style="thin">
        <color rgb="FFD4CCE0"/>
      </top>
      <bottom style="thin">
        <color rgb="FFD4CCE0"/>
      </bottom>
      <diagonal/>
    </border>
    <border diagonalUp="false" diagonalDown="false">
      <left style="thin">
        <color rgb="FFD4CCE0"/>
      </left>
      <right style="thin">
        <color rgb="FFD4CCE0"/>
      </right>
      <top style="thin">
        <color rgb="FF3B234A"/>
      </top>
      <bottom style="double">
        <color rgb="FF3B23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6FA"/>
      <rgbColor rgb="FFEAE4F0"/>
      <rgbColor rgb="FF660066"/>
      <rgbColor rgb="FFFF8080"/>
      <rgbColor rgb="FF1155CC"/>
      <rgbColor rgb="FFD4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7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23152C"/>
      <rgbColor rgb="FF1F1F1F"/>
      <rgbColor rgb="FF993300"/>
      <rgbColor rgb="FF993366"/>
      <rgbColor rgb="FF4A3B56"/>
      <rgbColor rgb="FF3B23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6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38"/>
    <col collapsed="false" customWidth="true" hidden="false" outlineLevel="0" max="9" min="9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5.5" hidden="false" customHeight="true" outlineLevel="0" collapsed="false">
      <c r="A4" s="3" t="s">
        <v>2</v>
      </c>
      <c r="B4" s="4" t="s">
        <v>3</v>
      </c>
      <c r="C4" s="3" t="s">
        <v>4</v>
      </c>
      <c r="D4" s="4" t="s">
        <v>5</v>
      </c>
      <c r="E4" s="3" t="s">
        <v>6</v>
      </c>
      <c r="F4" s="3" t="s">
        <v>7</v>
      </c>
      <c r="G4" s="3" t="s">
        <v>8</v>
      </c>
      <c r="H4" s="4" t="s">
        <v>9</v>
      </c>
      <c r="I4" s="4" t="s">
        <v>10</v>
      </c>
    </row>
    <row r="5" customFormat="false" ht="31.5" hidden="false" customHeight="true" outlineLevel="0" collapsed="false">
      <c r="A5" s="5" t="n">
        <v>1</v>
      </c>
      <c r="B5" s="6" t="s">
        <v>11</v>
      </c>
      <c r="C5" s="7" t="s">
        <v>12</v>
      </c>
      <c r="D5" s="6" t="s">
        <v>13</v>
      </c>
      <c r="E5" s="8" t="n">
        <v>1</v>
      </c>
      <c r="F5" s="8" t="n">
        <v>1</v>
      </c>
      <c r="G5" s="9" t="s">
        <v>14</v>
      </c>
      <c r="H5" s="10" t="s">
        <v>15</v>
      </c>
      <c r="I5" s="6" t="s">
        <v>16</v>
      </c>
    </row>
    <row r="6" customFormat="false" ht="31.5" hidden="false" customHeight="true" outlineLevel="0" collapsed="false">
      <c r="A6" s="11" t="n">
        <v>2</v>
      </c>
      <c r="B6" s="12" t="s">
        <v>17</v>
      </c>
      <c r="C6" s="13" t="s">
        <v>18</v>
      </c>
      <c r="D6" s="12" t="s">
        <v>16</v>
      </c>
      <c r="E6" s="14" t="n">
        <v>1</v>
      </c>
      <c r="F6" s="14" t="n">
        <v>1</v>
      </c>
      <c r="G6" s="9" t="s">
        <v>14</v>
      </c>
      <c r="H6" s="15" t="s">
        <v>19</v>
      </c>
      <c r="I6" s="12" t="s">
        <v>20</v>
      </c>
    </row>
    <row r="7" customFormat="false" ht="31.5" hidden="false" customHeight="true" outlineLevel="0" collapsed="false">
      <c r="A7" s="5" t="n">
        <v>3</v>
      </c>
      <c r="B7" s="6" t="s">
        <v>21</v>
      </c>
      <c r="C7" s="7" t="s">
        <v>18</v>
      </c>
      <c r="D7" s="6" t="s">
        <v>16</v>
      </c>
      <c r="E7" s="8" t="n">
        <v>2.5</v>
      </c>
      <c r="F7" s="8" t="n">
        <v>2.5</v>
      </c>
      <c r="G7" s="9" t="s">
        <v>14</v>
      </c>
      <c r="H7" s="10" t="s">
        <v>22</v>
      </c>
      <c r="I7" s="6" t="s">
        <v>20</v>
      </c>
    </row>
    <row r="8" customFormat="false" ht="31.5" hidden="false" customHeight="true" outlineLevel="0" collapsed="false">
      <c r="A8" s="11" t="n">
        <v>4</v>
      </c>
      <c r="B8" s="12" t="s">
        <v>23</v>
      </c>
      <c r="C8" s="13" t="s">
        <v>18</v>
      </c>
      <c r="D8" s="12" t="s">
        <v>16</v>
      </c>
      <c r="E8" s="14" t="n">
        <v>2</v>
      </c>
      <c r="F8" s="14" t="n">
        <v>2</v>
      </c>
      <c r="G8" s="9" t="s">
        <v>14</v>
      </c>
      <c r="H8" s="15" t="s">
        <v>22</v>
      </c>
      <c r="I8" s="12" t="s">
        <v>20</v>
      </c>
    </row>
    <row r="9" customFormat="false" ht="31.5" hidden="false" customHeight="true" outlineLevel="0" collapsed="false">
      <c r="A9" s="5" t="n">
        <v>5</v>
      </c>
      <c r="B9" s="6" t="s">
        <v>24</v>
      </c>
      <c r="C9" s="7" t="s">
        <v>25</v>
      </c>
      <c r="D9" s="6" t="s">
        <v>20</v>
      </c>
      <c r="E9" s="8" t="n">
        <v>2.5</v>
      </c>
      <c r="F9" s="8" t="n">
        <v>2.5</v>
      </c>
      <c r="G9" s="9" t="s">
        <v>14</v>
      </c>
      <c r="H9" s="10" t="s">
        <v>26</v>
      </c>
      <c r="I9" s="6" t="s">
        <v>16</v>
      </c>
    </row>
    <row r="10" customFormat="false" ht="31.5" hidden="false" customHeight="true" outlineLevel="0" collapsed="false">
      <c r="A10" s="11" t="n">
        <v>6</v>
      </c>
      <c r="B10" s="12" t="s">
        <v>27</v>
      </c>
      <c r="C10" s="13" t="s">
        <v>25</v>
      </c>
      <c r="D10" s="12" t="s">
        <v>20</v>
      </c>
      <c r="E10" s="14" t="n">
        <v>2.5</v>
      </c>
      <c r="F10" s="14" t="n">
        <v>2.5</v>
      </c>
      <c r="G10" s="9" t="s">
        <v>14</v>
      </c>
      <c r="H10" s="15" t="s">
        <v>26</v>
      </c>
      <c r="I10" s="12" t="s">
        <v>16</v>
      </c>
    </row>
    <row r="11" customFormat="false" ht="31.5" hidden="false" customHeight="true" outlineLevel="0" collapsed="false">
      <c r="A11" s="5" t="n">
        <v>7</v>
      </c>
      <c r="B11" s="6" t="s">
        <v>28</v>
      </c>
      <c r="C11" s="7" t="s">
        <v>12</v>
      </c>
      <c r="D11" s="6" t="s">
        <v>13</v>
      </c>
      <c r="E11" s="8" t="n">
        <v>2.5</v>
      </c>
      <c r="F11" s="8" t="n">
        <v>2.5</v>
      </c>
      <c r="G11" s="9" t="s">
        <v>14</v>
      </c>
      <c r="H11" s="10" t="s">
        <v>29</v>
      </c>
      <c r="I11" s="6" t="s">
        <v>20</v>
      </c>
    </row>
    <row r="12" customFormat="false" ht="31.5" hidden="false" customHeight="true" outlineLevel="0" collapsed="false">
      <c r="A12" s="11" t="n">
        <v>8</v>
      </c>
      <c r="B12" s="12" t="s">
        <v>30</v>
      </c>
      <c r="C12" s="13" t="s">
        <v>12</v>
      </c>
      <c r="D12" s="12" t="s">
        <v>13</v>
      </c>
      <c r="E12" s="14" t="n">
        <v>2</v>
      </c>
      <c r="F12" s="14" t="n">
        <v>2</v>
      </c>
      <c r="G12" s="9" t="s">
        <v>14</v>
      </c>
      <c r="H12" s="15" t="s">
        <v>29</v>
      </c>
      <c r="I12" s="12" t="s">
        <v>16</v>
      </c>
    </row>
    <row r="13" customFormat="false" ht="31.5" hidden="false" customHeight="true" outlineLevel="0" collapsed="false">
      <c r="A13" s="5" t="n">
        <v>9</v>
      </c>
      <c r="B13" s="6" t="s">
        <v>31</v>
      </c>
      <c r="C13" s="7" t="s">
        <v>25</v>
      </c>
      <c r="D13" s="6" t="s">
        <v>20</v>
      </c>
      <c r="E13" s="8" t="n">
        <v>2</v>
      </c>
      <c r="F13" s="8" t="n">
        <v>2</v>
      </c>
      <c r="G13" s="9" t="s">
        <v>14</v>
      </c>
      <c r="H13" s="10" t="s">
        <v>32</v>
      </c>
      <c r="I13" s="6" t="s">
        <v>16</v>
      </c>
    </row>
    <row r="14" customFormat="false" ht="31.5" hidden="false" customHeight="true" outlineLevel="0" collapsed="false">
      <c r="A14" s="11" t="n">
        <v>10</v>
      </c>
      <c r="B14" s="12" t="s">
        <v>33</v>
      </c>
      <c r="C14" s="13" t="s">
        <v>18</v>
      </c>
      <c r="D14" s="12" t="s">
        <v>16</v>
      </c>
      <c r="E14" s="14" t="n">
        <v>1.5</v>
      </c>
      <c r="F14" s="14" t="n">
        <v>1.5</v>
      </c>
      <c r="G14" s="9" t="s">
        <v>14</v>
      </c>
      <c r="H14" s="15" t="s">
        <v>32</v>
      </c>
      <c r="I14" s="12" t="s">
        <v>20</v>
      </c>
    </row>
    <row r="15" customFormat="false" ht="31.5" hidden="false" customHeight="true" outlineLevel="0" collapsed="false">
      <c r="A15" s="5" t="n">
        <v>11</v>
      </c>
      <c r="B15" s="6" t="s">
        <v>34</v>
      </c>
      <c r="C15" s="7" t="s">
        <v>25</v>
      </c>
      <c r="D15" s="6" t="s">
        <v>20</v>
      </c>
      <c r="E15" s="8" t="n">
        <v>3</v>
      </c>
      <c r="F15" s="8" t="n">
        <v>3</v>
      </c>
      <c r="G15" s="9" t="s">
        <v>14</v>
      </c>
      <c r="H15" s="10" t="s">
        <v>35</v>
      </c>
      <c r="I15" s="6" t="s">
        <v>16</v>
      </c>
    </row>
    <row r="16" customFormat="false" ht="31.5" hidden="false" customHeight="true" outlineLevel="0" collapsed="false">
      <c r="A16" s="11" t="n">
        <v>12</v>
      </c>
      <c r="B16" s="12" t="s">
        <v>36</v>
      </c>
      <c r="C16" s="13" t="s">
        <v>12</v>
      </c>
      <c r="D16" s="12" t="s">
        <v>13</v>
      </c>
      <c r="E16" s="14" t="n">
        <v>2.5</v>
      </c>
      <c r="F16" s="14" t="n">
        <v>2.5</v>
      </c>
      <c r="G16" s="9" t="s">
        <v>14</v>
      </c>
      <c r="H16" s="15" t="s">
        <v>37</v>
      </c>
      <c r="I16" s="12" t="s">
        <v>16</v>
      </c>
    </row>
    <row r="17" customFormat="false" ht="31.5" hidden="false" customHeight="true" outlineLevel="0" collapsed="false">
      <c r="A17" s="5" t="n">
        <v>13</v>
      </c>
      <c r="B17" s="6" t="s">
        <v>38</v>
      </c>
      <c r="C17" s="7" t="s">
        <v>12</v>
      </c>
      <c r="D17" s="6" t="s">
        <v>13</v>
      </c>
      <c r="E17" s="8" t="n">
        <v>3</v>
      </c>
      <c r="F17" s="8" t="n">
        <v>3</v>
      </c>
      <c r="G17" s="9" t="s">
        <v>14</v>
      </c>
      <c r="H17" s="10" t="s">
        <v>37</v>
      </c>
      <c r="I17" s="6" t="s">
        <v>20</v>
      </c>
    </row>
    <row r="18" customFormat="false" ht="31.5" hidden="false" customHeight="true" outlineLevel="0" collapsed="false">
      <c r="A18" s="11" t="n">
        <v>14</v>
      </c>
      <c r="B18" s="12" t="s">
        <v>39</v>
      </c>
      <c r="C18" s="13" t="s">
        <v>12</v>
      </c>
      <c r="D18" s="12" t="s">
        <v>13</v>
      </c>
      <c r="E18" s="14" t="n">
        <v>1.5</v>
      </c>
      <c r="F18" s="14" t="n">
        <v>1.5</v>
      </c>
      <c r="G18" s="9" t="s">
        <v>14</v>
      </c>
      <c r="H18" s="15" t="s">
        <v>37</v>
      </c>
      <c r="I18" s="12" t="s">
        <v>16</v>
      </c>
    </row>
    <row r="19" customFormat="false" ht="31.5" hidden="false" customHeight="true" outlineLevel="0" collapsed="false">
      <c r="A19" s="5" t="n">
        <v>15</v>
      </c>
      <c r="B19" s="6" t="s">
        <v>40</v>
      </c>
      <c r="C19" s="7" t="s">
        <v>18</v>
      </c>
      <c r="D19" s="6" t="s">
        <v>16</v>
      </c>
      <c r="E19" s="8" t="n">
        <v>1.5</v>
      </c>
      <c r="F19" s="8" t="n">
        <v>1.5</v>
      </c>
      <c r="G19" s="9" t="s">
        <v>14</v>
      </c>
      <c r="H19" s="10" t="s">
        <v>35</v>
      </c>
      <c r="I19" s="6" t="s">
        <v>20</v>
      </c>
    </row>
    <row r="20" customFormat="false" ht="31.5" hidden="false" customHeight="true" outlineLevel="0" collapsed="false">
      <c r="A20" s="11" t="n">
        <v>16</v>
      </c>
      <c r="B20" s="12" t="s">
        <v>41</v>
      </c>
      <c r="C20" s="13" t="s">
        <v>25</v>
      </c>
      <c r="D20" s="12" t="s">
        <v>20</v>
      </c>
      <c r="E20" s="14" t="n">
        <v>1.5</v>
      </c>
      <c r="F20" s="14" t="n">
        <v>1.5</v>
      </c>
      <c r="G20" s="9" t="s">
        <v>14</v>
      </c>
      <c r="H20" s="15" t="s">
        <v>37</v>
      </c>
      <c r="I20" s="12" t="s">
        <v>16</v>
      </c>
    </row>
    <row r="21" customFormat="false" ht="31.5" hidden="false" customHeight="true" outlineLevel="0" collapsed="false">
      <c r="A21" s="5" t="n">
        <v>17</v>
      </c>
      <c r="B21" s="6" t="s">
        <v>42</v>
      </c>
      <c r="C21" s="7" t="s">
        <v>12</v>
      </c>
      <c r="D21" s="6" t="s">
        <v>13</v>
      </c>
      <c r="E21" s="8" t="n">
        <v>1</v>
      </c>
      <c r="F21" s="8" t="n">
        <v>1</v>
      </c>
      <c r="G21" s="9" t="s">
        <v>14</v>
      </c>
      <c r="H21" s="10" t="s">
        <v>43</v>
      </c>
      <c r="I21" s="6" t="s">
        <v>16</v>
      </c>
    </row>
    <row r="22" customFormat="false" ht="31.5" hidden="false" customHeight="true" outlineLevel="0" collapsed="false">
      <c r="A22" s="11" t="n">
        <v>18</v>
      </c>
      <c r="B22" s="12" t="s">
        <v>44</v>
      </c>
      <c r="C22" s="13" t="s">
        <v>18</v>
      </c>
      <c r="D22" s="12" t="s">
        <v>16</v>
      </c>
      <c r="E22" s="14" t="n">
        <v>1</v>
      </c>
      <c r="F22" s="14" t="n">
        <v>1</v>
      </c>
      <c r="G22" s="9" t="s">
        <v>14</v>
      </c>
      <c r="H22" s="15" t="s">
        <v>15</v>
      </c>
      <c r="I22" s="12" t="s">
        <v>20</v>
      </c>
    </row>
    <row r="23" customFormat="false" ht="31.5" hidden="false" customHeight="true" outlineLevel="0" collapsed="false">
      <c r="A23" s="5" t="n">
        <v>19</v>
      </c>
      <c r="B23" s="6" t="s">
        <v>45</v>
      </c>
      <c r="C23" s="7" t="s">
        <v>46</v>
      </c>
      <c r="D23" s="6" t="s">
        <v>46</v>
      </c>
      <c r="E23" s="8" t="n">
        <v>1.5</v>
      </c>
      <c r="F23" s="8" t="n">
        <v>1.5</v>
      </c>
      <c r="G23" s="9" t="s">
        <v>14</v>
      </c>
      <c r="H23" s="6" t="s">
        <v>47</v>
      </c>
      <c r="I23" s="6" t="s">
        <v>47</v>
      </c>
    </row>
    <row r="24" customFormat="false" ht="31.5" hidden="false" customHeight="true" outlineLevel="0" collapsed="false">
      <c r="A24" s="11" t="n">
        <v>20</v>
      </c>
      <c r="B24" s="12" t="s">
        <v>48</v>
      </c>
      <c r="C24" s="13" t="s">
        <v>18</v>
      </c>
      <c r="D24" s="12" t="s">
        <v>16</v>
      </c>
      <c r="E24" s="14" t="n">
        <v>1</v>
      </c>
      <c r="F24" s="14" t="n">
        <v>1</v>
      </c>
      <c r="G24" s="9" t="s">
        <v>14</v>
      </c>
      <c r="H24" s="15" t="s">
        <v>49</v>
      </c>
      <c r="I24" s="12" t="s">
        <v>47</v>
      </c>
    </row>
    <row r="25" customFormat="false" ht="24" hidden="false" customHeight="true" outlineLevel="0" collapsed="false">
      <c r="A25" s="16"/>
      <c r="B25" s="16" t="s">
        <v>50</v>
      </c>
      <c r="C25" s="16"/>
      <c r="D25" s="16"/>
      <c r="E25" s="17" t="n">
        <f aca="false">SUM(E5:E24)</f>
        <v>37</v>
      </c>
      <c r="F25" s="17" t="n">
        <f aca="false">SUM(F5:F24)</f>
        <v>37</v>
      </c>
      <c r="G25" s="16"/>
      <c r="H25" s="16"/>
      <c r="I25" s="16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6" min="5" style="0" width="26"/>
    <col collapsed="false" customWidth="true" hidden="false" outlineLevel="0" max="7" min="7" style="0" width="58"/>
  </cols>
  <sheetData>
    <row r="1" customFormat="false" ht="25.5" hidden="false" customHeight="true" outlineLevel="0" collapsed="false">
      <c r="A1" s="1" t="s">
        <v>51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52</v>
      </c>
      <c r="B2" s="2"/>
      <c r="C2" s="2"/>
      <c r="D2" s="2"/>
      <c r="E2" s="2"/>
      <c r="F2" s="2"/>
      <c r="G2" s="2"/>
    </row>
    <row r="4" customFormat="false" ht="25.5" hidden="false" customHeight="true" outlineLevel="0" collapsed="false">
      <c r="A4" s="3" t="s">
        <v>2</v>
      </c>
      <c r="B4" s="4" t="s">
        <v>53</v>
      </c>
      <c r="C4" s="4" t="s">
        <v>54</v>
      </c>
      <c r="D4" s="3" t="s">
        <v>55</v>
      </c>
      <c r="E4" s="4" t="s">
        <v>56</v>
      </c>
      <c r="F4" s="4" t="s">
        <v>57</v>
      </c>
      <c r="G4" s="4" t="s">
        <v>58</v>
      </c>
    </row>
    <row r="5" customFormat="false" ht="45.75" hidden="false" customHeight="true" outlineLevel="0" collapsed="false">
      <c r="A5" s="5" t="n">
        <v>1</v>
      </c>
      <c r="B5" s="18" t="s">
        <v>59</v>
      </c>
      <c r="C5" s="19" t="s">
        <v>60</v>
      </c>
      <c r="D5" s="5" t="n">
        <v>6</v>
      </c>
      <c r="E5" s="19" t="s">
        <v>61</v>
      </c>
      <c r="F5" s="19" t="s">
        <v>62</v>
      </c>
      <c r="G5" s="6" t="s">
        <v>63</v>
      </c>
    </row>
    <row r="6" customFormat="false" ht="45.75" hidden="false" customHeight="true" outlineLevel="0" collapsed="false">
      <c r="A6" s="11" t="n">
        <v>2</v>
      </c>
      <c r="B6" s="20" t="s">
        <v>64</v>
      </c>
      <c r="C6" s="21" t="s">
        <v>65</v>
      </c>
      <c r="D6" s="11" t="n">
        <v>14</v>
      </c>
      <c r="E6" s="21" t="s">
        <v>61</v>
      </c>
      <c r="F6" s="21" t="s">
        <v>62</v>
      </c>
      <c r="G6" s="12" t="s">
        <v>66</v>
      </c>
    </row>
    <row r="7" customFormat="false" ht="45.75" hidden="false" customHeight="true" outlineLevel="0" collapsed="false">
      <c r="A7" s="5" t="n">
        <v>3</v>
      </c>
      <c r="B7" s="18" t="s">
        <v>67</v>
      </c>
      <c r="C7" s="19" t="s">
        <v>68</v>
      </c>
      <c r="D7" s="5" t="n">
        <v>9</v>
      </c>
      <c r="E7" s="19" t="s">
        <v>61</v>
      </c>
      <c r="F7" s="19" t="s">
        <v>69</v>
      </c>
      <c r="G7" s="6" t="s">
        <v>70</v>
      </c>
    </row>
    <row r="8" customFormat="false" ht="45.75" hidden="false" customHeight="true" outlineLevel="0" collapsed="false">
      <c r="A8" s="11" t="n">
        <v>4</v>
      </c>
      <c r="B8" s="20" t="s">
        <v>71</v>
      </c>
      <c r="C8" s="21" t="s">
        <v>72</v>
      </c>
      <c r="D8" s="11" t="n">
        <v>8</v>
      </c>
      <c r="E8" s="21" t="s">
        <v>62</v>
      </c>
      <c r="F8" s="21" t="s">
        <v>69</v>
      </c>
      <c r="G8" s="12" t="s">
        <v>73</v>
      </c>
    </row>
    <row r="9" customFormat="false" ht="45.75" hidden="false" customHeight="true" outlineLevel="0" collapsed="false">
      <c r="A9" s="5" t="n">
        <v>5</v>
      </c>
      <c r="B9" s="18" t="s">
        <v>74</v>
      </c>
      <c r="C9" s="19" t="s">
        <v>75</v>
      </c>
      <c r="D9" s="5" t="n">
        <v>8</v>
      </c>
      <c r="E9" s="19" t="s">
        <v>62</v>
      </c>
      <c r="F9" s="19" t="s">
        <v>69</v>
      </c>
      <c r="G9" s="6" t="s">
        <v>76</v>
      </c>
    </row>
    <row r="10" customFormat="false" ht="24" hidden="false" customHeight="true" outlineLevel="0" collapsed="false">
      <c r="A10" s="16"/>
      <c r="B10" s="16" t="s">
        <v>77</v>
      </c>
      <c r="C10" s="16"/>
      <c r="D10" s="22" t="n">
        <f aca="false">SUM(D5:D9)</f>
        <v>45</v>
      </c>
      <c r="E10" s="16" t="s">
        <v>78</v>
      </c>
      <c r="F10" s="16"/>
      <c r="G10" s="16" t="s">
        <v>79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2026-10-20T11:06:06Z</dcterms:created>
  <dc:creator>openpyxl</dc:creator>
  <dc:description/>
  <dc:language>en-US</dc:language>
  <cp:lastModifiedBy/>
  <dcterms:modified xsi:type="dcterms:W3CDTF">2026-10-20T11:06:06Z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