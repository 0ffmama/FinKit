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Реєстр" sheetId="1" state="visible" r:id="rId2"/>
    <sheet name="Розподіл розділів" sheetId="2" state="visible" r:id="rId3"/>
    <sheet name="Спірні" sheetId="3" state="visible" r:id="rId4"/>
    <sheet name="Звіт_за_критеріями" sheetId="4" state="visible" r:id="rId5"/>
    <sheet name="Аркуш_Фомін" sheetId="5" state="visible" r:id="rId6"/>
    <sheet name="Аркуш_Бугай" sheetId="6" state="visible" r:id="rId7"/>
    <sheet name="Аркуш_Гонтар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<sst xmlns="http://schemas.openxmlformats.org/spreadsheetml/2006/main" count="457" uniqueCount="329">
  <si>
    <t xml:space="preserve">Реєстр дефектів вимог до програмного продукту «ФінКит» (SRS версії 1.0)</t>
  </si>
  <si>
    <t xml:space="preserve">Команда: Група D | Спринт 2 | КТ/СМ: Фомін Т. В., ТА: Бугай Д. С., ІТ: Гонтар М. П. | Знайдено: 24 дефекти (по 4 на кожний із 6 критеріїв) + 2 відхилені після обговорення</t>
  </si>
  <si>
    <t xml:space="preserve">№</t>
  </si>
  <si>
    <t xml:space="preserve">ID вимоги</t>
  </si>
  <si>
    <t xml:space="preserve">Критерій</t>
  </si>
  <si>
    <t xml:space="preserve">Опис дефекту (пункт чек-листа і цитата)</t>
  </si>
  <si>
    <t xml:space="preserve">Пропозиція виправлення (готове формулювання для SRS 1.1)</t>
  </si>
  <si>
    <t xml:space="preserve">Хто знайшов (особистий аркуш)</t>
  </si>
  <si>
    <t xml:space="preserve">Статус</t>
  </si>
  <si>
    <t xml:space="preserve">F-90</t>
  </si>
  <si>
    <t xml:space="preserve">Однозначність</t>
  </si>
  <si>
    <t xml:space="preserve">Порушено п. 1, 4 чек-листа однозначності: у фразі «Дати вводяться у стандартному форматі» не визначено, який саме формат дати є стандартним (ММ-ДД-РРРР як у demo ParaBank чи ДД.ММ.РРРР), а також не вказано поведінку при порожній вибірці.</t>
  </si>
  <si>
    <t xml:space="preserve">«Клієнт обирає рахунок та один із критеріїв пошуку: ідентифікатор операції (ціле додатне число), дата, діапазон дат, сума (додатне число). Дати вводяться у форматі ММ-ДД-РРРР (наприклад, 10-15-2026). Система показує перелік операцій, що відповідають критерію: дата, опис (посилання на деталі), сума списання або зарахування; якщо операцій не знайдено — виводиться повідомлення «Операцій за вказаним критерієм не знайдено»».</t>
  </si>
  <si>
    <t xml:space="preserve">Фомін Т. В. (Ф-04), Бугай Д. С. (Б-03)</t>
  </si>
  <si>
    <t xml:space="preserve">Прийнято</t>
  </si>
  <si>
    <t xml:space="preserve">GUI-30</t>
  </si>
  <si>
    <t xml:space="preserve">Порушено п. 1, 4 чек-листа однозначності: зазначено «Для кожного порожнього обов'язкового поля поряд із ним виводиться повідомлення…», але ні в GUI-30, ні в F-10 не вказано, які саме з 11 полів реєстрації є обов'язковими (усі 11 чи частина).</t>
  </si>
  <si>
    <t xml:space="preserve">«Форма реєстрації містить одинадцять полів за F-10 (усі одинадцять полів є обов'язковими для заповнення) і кнопку «Зареєструватися». Для кожного порожнього обов'язкового поля поряд із ним виводиться повідомлення «Поле &lt;назва&gt; є обов'язковим»; якщо пароль і підтвердження не збігаються — «Паролі не збігаються»; якщо логін уже зайнятий — «Такий логін уже існує»».</t>
  </si>
  <si>
    <t xml:space="preserve">Фомін Т. В. (Ф-07, індивідуальна знахідка)</t>
  </si>
  <si>
    <t xml:space="preserve">GUI-50</t>
  </si>
  <si>
    <t xml:space="preserve">Порушено п. 1, 2, 4 чек-листа однозначності: «Якщо суму у формі переказу або оплати рахунку введено некоректно, система показує відповідне повідомлення помітним кольором» — терміни «некоректно», «відповідне повідомлення» і «помітним кольором» допускають довільне трактування.</t>
  </si>
  <si>
    <t xml:space="preserve">«Якщо у формі переказу (F-70) або оплати рахунку (GUI-60) поле «Сума» залишено порожнім, система виводить червоним кольором повідомлення «Сума є обов'язковою»; якщо введено нечислове значення, нуль або від'ємне число — повідомлення «Введіть коректну додатну суму з точністю до двох знаків після коми»».</t>
  </si>
  <si>
    <t xml:space="preserve">Фомін Т. В. (Ф-09), Гонтар М. П. (Г-03)</t>
  </si>
  <si>
    <t xml:space="preserve">BL-50</t>
  </si>
  <si>
    <t xml:space="preserve">Порушено п. 2, 4, 5 чек-листа однозначності: фраза «IBAN рахунку-джерела та рахунку-одержувача має відповідати українському формату; рядок іншого вигляду вважається недійсним» не уточнює, чи допускаються пробіли, малі літери («ua») або значення null.</t>
  </si>
  <si>
    <t xml:space="preserve">«IBAN рахунку-джерела та рахунку-одержувача має відповідати регулярному виразу ^UA\d{27}$ (префікс «UA» великими літерами та рівно 27 цифр без пробілів, згідно з п. 1.3); будь-який рядок іншого вигляду або null вважається недійсним (коди INVALID_FROM_IBAN, INVALID_TO_IBAN)».</t>
  </si>
  <si>
    <t xml:space="preserve">Гонтар М. П. (Г-07, індивідуальна знахідка)</t>
  </si>
  <si>
    <t xml:space="preserve">F-50</t>
  </si>
  <si>
    <t xml:space="preserve">Повнота</t>
  </si>
  <si>
    <t xml:space="preserve">Порушено п. 1, 3 чек-листа повноти: «Склад полів переліку операцій визначено в документі «Регламент виписок ФК-РВ-2»» — посилання веде на неіснуючий документ (відсутній у розділі 1.4), тому склад колонок таблиці операцій у специфікації не визначений.</t>
  </si>
  <si>
    <t xml:space="preserve">Вилучити посилання на неіснуючий документ і викласти останнє речення F-50 у редакції: «Таблиця переліку операцій містить чотири колонки: «Дата» (формат ММ-ДД-РРРР), «Опис операції» (посилання на сторінку деталей транзакції з ID, датою, описом, типом і сумою), «Списання (Дебет)» та «Зарахування (Кредит)»».</t>
  </si>
  <si>
    <t xml:space="preserve">Фомін Т. В. (Ф-01, індивідуальна знахідка)</t>
  </si>
  <si>
    <t xml:space="preserve">F-70</t>
  </si>
  <si>
    <t xml:space="preserve">Порушено п. 4, 5 чек-листа повноти: у вимозі «Клієнт вводить суму, обирає рахунок-джерело і рахунок-одержувач…» не обумовлено допустимі вхідні дані для суми та не описано реакцію застосунку на суму понад залишок рахунку, перевищення денного ліміту або вибір однакового рахунку.</t>
  </si>
  <si>
    <t xml:space="preserve">Доповнити F-70: «Сума переказу — додатне число з точністю до двох знаків після коми. Якщо сума перевищує доступний баланс рахунку-джерела, система відхиляє переказ із повідомленням «Недостатньо коштів на рахунку»; якщо перевищено денний ліміт — «Перевищено денний ліміт переказів (50 000 грн)»; якщо обрано однаковий рахунок — «Рахунок-джерело і рахунок-одержувач не можуть збігатися»».</t>
  </si>
  <si>
    <t xml:space="preserve">Бугай Д. С. (Б-01, індивідуальна знахідка)</t>
  </si>
  <si>
    <t xml:space="preserve">GUI-60</t>
  </si>
  <si>
    <t xml:space="preserve">Порушено п. 4, 5 чек-листа повноти: у GUI-60 перелічено поля форми оплати рахунку (зокрема «Номер рахунку одержувача» і «Підтвердження номера рахунку»), але не описано реакцію на порожні поля, нечисловий номер рахунку або незбіг номера рахунку з підтвердженням.</t>
  </si>
  <si>
    <t xml:space="preserve">Додати до GUI-60: «Усі поля форми оплати рахунку є обов'язковими. За порожнього поля поряд із ним виводиться повідомлення «Поле &lt;назва&gt; є обов'язковим»; за нечислового номера рахунку — «Введіть коректний номер рахунку»; за незбігу полів «Номер рахунку одержувача» і «Підтвердження номера рахунку» — «Номери рахунків не збігаються», платіж не надсилається».</t>
  </si>
  <si>
    <t xml:space="preserve">Гонтар М. П. (Г-04, індивідуальна знахідка)</t>
  </si>
  <si>
    <t xml:space="preserve">BL-70</t>
  </si>
  <si>
    <t xml:space="preserve">Порушено п. 1, 2, 5 чек-листа повноти: у BL-70 описано deposit(amount), withdraw(amount) і balance(), але не вказано реакцію withdraw(amount) на овердрафт (amount &gt; balance(), хоча термін «Овердрафт» є у п. 1.3) та відсутня вимога до методу історії операцій AccountLedger.</t>
  </si>
  <si>
    <t xml:space="preserve">Доповнити BL-70: «Овердрафт заборонено: якщо у withdraw(amount) значення amount &gt; balance(), метод кидає IllegalArgumentException, а баланс не змінюється. Метод історії операцій повертає незмінний список виконаних транзакцій у хронологічному порядку їх додавання».</t>
  </si>
  <si>
    <t xml:space="preserve">Бугай Д. С. (Б-07, індивідуальна знахідка)</t>
  </si>
  <si>
    <t xml:space="preserve">F-30, GUI-20</t>
  </si>
  <si>
    <t xml:space="preserve">Несуперечливість</t>
  </si>
  <si>
    <t xml:space="preserve">Порушено п. 2 чек-листа несуперечливості: у F-30 форма «Пошук клієнта» містить 7 полів (ім'я, прізвище, адреса, місто, область, поштовий індекс, РНОКПП), а в GUI-20 — лише 4 поля (Ім'я, Прізвище, Телефон, РНОКПП; причому телефон у F-30 відсутній).</t>
  </si>
  <si>
    <t xml:space="preserve">Узгодити GUI-20 із F-30 та фактичною формою demo-застосунку ParaBank: «GUI-20. Форма «Пошук клієнта» для відновлення доступу містить сім полів за F-30: «Ім'я», «Прізвище», «Адреса», «Місто», «Область», «Поштовий індекс», «РНОКПП» і кнопку «Знайти»».</t>
  </si>
  <si>
    <t xml:space="preserve">Фомін Т. В. (Ф-06), Гонтар М. П. (Г-01)</t>
  </si>
  <si>
    <t xml:space="preserve">F-70, BL-40</t>
  </si>
  <si>
    <t xml:space="preserve">Порушено п. 2 чек-листа несуперечливості: у F-70 вказано «Загальна сума переказів клієнта за одну добу не може перевищувати 100 000 грн», тоді як у BL-40 денний ліміт дорівнює 50 000 грн («todaySpent + amount ≤ 50 000 грн»).</t>
  </si>
  <si>
    <t xml:space="preserve">Узгодити F-70 із правилом бізнес-логіки BL-40: замінити у F-70 значення «100 000 грн» на «50 000 грн» («Загальна сума переказів клієнта за одну календарну добу не може перевищувати 50 000 грн (узгоджено з BL-40)»).</t>
  </si>
  <si>
    <t xml:space="preserve">Фомін Т. В. (Ф-02), Бугай Д. С. (Б-02)</t>
  </si>
  <si>
    <t xml:space="preserve">F-110, BL-30</t>
  </si>
  <si>
    <t xml:space="preserve">Порушено п. 2 чек-листа несуперечливості: у F-110 зазначено «Мінімальна сума кредиту — 500 грн», а у BL-30 метод LoanCalculator приймає лише суму кредиту «P у межах 1 000..1 000 000 грн» (мінімум 1 000 грн).</t>
  </si>
  <si>
    <t xml:space="preserve">Узгодити F-110 із BL-30: замінити в останньому реченні F-110 «500 грн» на «1 000 грн» («Допустима сума кредиту — від 1 000 до 1 000 000 грн (узгоджено з BL-30); перший внесок — додатне число, не більше за доступний баланс обраного рахунку»).</t>
  </si>
  <si>
    <t xml:space="preserve">Бугай Д. С. (Б-04), Гонтар М. П. (Г-06)</t>
  </si>
  <si>
    <t xml:space="preserve">GUI-80, S-10</t>
  </si>
  <si>
    <t xml:space="preserve">Порушено п. 2 чек-листа несуперечливості: за GUI-80 «сеанс клієнта залишається активним протягом 8 годин незалежно від активності», що прямо суперечить вимозі безпеки S-10 («Сеанс клієнта автоматично завершується після 15 хвилин бездіяльності»).</t>
  </si>
  <si>
    <t xml:space="preserve">Викласти GUI-80 у узгодженні з S-10: «GUI-80. Після автоматичного завершення сеансу через 15 хвилин бездіяльності клієнта (згідно з S-10) при спробі переходу на будь-яку сторінку кабінету система перенаправляє клієнта на головну сторінку з блоком «Вхід клієнта» і повідомленням «Час сеансу вичерпано. Увійдіть повторно»».</t>
  </si>
  <si>
    <t xml:space="preserve">Фомін Т. В. (Ф-11), Гонтар М. П. (Г-05)</t>
  </si>
  <si>
    <t xml:space="preserve">F-130, F-140</t>
  </si>
  <si>
    <t xml:space="preserve">Простежуваність</t>
  </si>
  <si>
    <t xml:space="preserve">Порушено п. 1, 5 чек-листа простежуваності: вимоги F-130 і F-140 дублюють одна одну, описуючи ту саму форму звернення до служби підтримки (ім'я, e-mail, телефон, повідомлення) під двома різними ID та з різними пріоритетами (Medium і Low).</t>
  </si>
  <si>
    <t xml:space="preserve">Залишити вимогу F-130 (пріоритет Medium) із уточненням, що форма доступна як авторизованому клієнту, так і відвідувачу, та обов'язковістю всіх 4 полів; вимогу F-140 вилучити із записом у журналі змін (без зсуву номерів).</t>
  </si>
  <si>
    <t xml:space="preserve">Фомін Т. В. (Ф-05), Бугай Д. С. (Б-05)</t>
  </si>
  <si>
    <t xml:space="preserve">Розд. 4, рядок 5 (дубль GUI-40)</t>
  </si>
  <si>
    <t xml:space="preserve">Порушено п. 2 чек-листа простежуваності: у розділі 4 два різні рядки («Після входу ліва колонка містить привітання…» та «Форма відкриття рахунку містить список…») мають однаковий ідентифікатор GUI-40.</t>
  </si>
  <si>
    <t xml:space="preserve">Зберегти ID GUI-40 за першою вимогою (меню кабінету після входу), а другій вимозі («Форма відкриття рахунку містить список «Тип рахунку»…») присвоїти вільний проміжний ідентифікатор GUI-45 без зміни нумерації наступних вимог.</t>
  </si>
  <si>
    <t xml:space="preserve">Фомін Т. В. (Ф-08), Гонтар М. П. (Г-02)</t>
  </si>
  <si>
    <t xml:space="preserve">Розд. 4, рядок 9 (після GUI-70, без ID)</t>
  </si>
  <si>
    <t xml:space="preserve">Порушено п. 2 чек-листа простежуваності: вимога у таблиці розділу 4 «Повідомлення про помилки введення показуються червоним кольором поряд із полем, якого стосуються» не має ідентифікатора (порожня клітинка між GUI-70 і GUI-80).</t>
  </si>
  <si>
    <t xml:space="preserve">Присвоїти цій вимозі вільний проміжний ідентифікатор GUI-75 (між GUI-70 та GUI-80) із фіксацією у журналі змін SRS 1.1.</t>
  </si>
  <si>
    <t xml:space="preserve">Гонтар М. П. (Г-10, індивідуальна знахідка)</t>
  </si>
  <si>
    <t xml:space="preserve">D-20</t>
  </si>
  <si>
    <t xml:space="preserve">Порушено п. 2, 3 чек-листа простежуваності (та п. 3 повноти): вимога D-20 посилається на неіснуючі ідентифікатори F-150 та F-160 («процедуру скидання даних (F-150) та налаштування параметрів кредитного рішення (F-160)»), яких немає у розділі 3.</t>
  </si>
  <si>
    <t xml:space="preserve">Замінити посилання у D-20 на наявні розділи специфікації: «D-20. Інструкція адміністратора описує процедуру ініціалізації та очищення даних (за п. 2.1) та налаштування параметрів кредитного рішення (за п. 2.1 та п. 2.3.5)».</t>
  </si>
  <si>
    <t xml:space="preserve">Бугай Д. С. (Б-11, індивідуальна знахідка)</t>
  </si>
  <si>
    <t xml:space="preserve">F-80</t>
  </si>
  <si>
    <t xml:space="preserve">Здійсненність</t>
  </si>
  <si>
    <t xml:space="preserve">Порушено п. 1 чек-листа здійсненності: «Перед відправленням система перевіряє наявність одержувача в реєстрах усіх банків світу та його платоспроможність» — нездійсненно через відсутність доступу до реєстрів усіх банків світу та даних про платоспроможність третіх осіб.</t>
  </si>
  <si>
    <t xml:space="preserve">Замінити друге речення F-80 на реалістичну перевірку: «Перед відправленням система перевіряє заповненість і формат реквізитів за GUI-60 та достатність балансу на рахунку списання, після чого списує суму і показує повідомлення «Платіж на користь &lt;одержувач&gt; на суму &lt;сума&gt; виконано»».</t>
  </si>
  <si>
    <t xml:space="preserve">Фомін Т. В. (Ф-03), Бугай Д. С. (Б-06)</t>
  </si>
  <si>
    <t xml:space="preserve">BL-60</t>
  </si>
  <si>
    <t xml:space="preserve">Порушено п. 1 чек-листа здійсненності (та п. 1 несуперечливості): «модуль підтверджує існування рахунку-одержувача в реєстрі Національного банку в режимі реального часу; при цьому модуль не використовує мережевих з'єднань» — неможливо звертатися до зовнішнього реєстру НБУ в реальному часі без мережі.</t>
  </si>
  <si>
    <t xml:space="preserve">Вилучити нереалістичну вимогу онлайн-перевірки в НБУ; викласти BL-60 у редакції: «BL-60. Метод TransferValidator.validate виконує всі перевірки локально в оперативній пам'яті без мережевих з'єднань і не має зовнішніх залежностей, перевіряючи рахунки виключно за форматом IBAN (BL-50) і правилами лімітів та балансу (BL-40)».</t>
  </si>
  <si>
    <t xml:space="preserve">Гонтар М. П. (Г-08, індивідуальна знахідка)</t>
  </si>
  <si>
    <t xml:space="preserve">P-10</t>
  </si>
  <si>
    <t xml:space="preserve">Порушено п. 1 чек-листа здійсненності: «Будь-яка сторінка кабінету повністю відображається не довше ніж за 0,1 с після натискання, незалежно від типу з'єднання клієнта, включно з мобільним 2G» — фізично недосяжно через мережеву затримку 2G (RTT &gt; 300–500 мс).</t>
  </si>
  <si>
    <t xml:space="preserve">Викласти P-10 із технічно досяжними параметрами: «P-10. Час повного завантаження будь-якої сторінки кабінету та виконання клієнтських операцій за швидкості інтернет-з'єднання від 10 Мбіт/с при 1–50 одночасних користувачах не перевищує 3,0 с для 95-го перцентиля запитів».</t>
  </si>
  <si>
    <t xml:space="preserve">Бугай Д. С. (Б-08), Гонтар М. П. (Г-11)</t>
  </si>
  <si>
    <t xml:space="preserve">S-20</t>
  </si>
  <si>
    <t xml:space="preserve">Порушено п. 1 чек-листа здійсненності: «Система гарантує 100 % захист від шахрайських операцій і несанкціонованого доступу до рахунків клієнтів» — гарантувати абсолютний 100 % захист технічно неможливо.</t>
  </si>
  <si>
    <t xml:space="preserve">Замінити S-20 на здійсненні й перевірювані вимоги безпеки: «S-20. Доступ до всіх внутрішніх сторінок кабінету клієнта (/overview.htm, /openaccount.htm, /transfer.htm, /billpay.htm, /findtrans.htm, /updateprofile.htm, /requestloan.htm) за прямим URL без активної авторизованої сесії заборонено: система перенаправляє на сторінку входу або повертає статус 401/403».</t>
  </si>
  <si>
    <t xml:space="preserve">Бугай Д. С. (Б-09, індивідуальна знахідка)</t>
  </si>
  <si>
    <t xml:space="preserve">GUI-70</t>
  </si>
  <si>
    <t xml:space="preserve">Тестопридатність</t>
  </si>
  <si>
    <t xml:space="preserve">Порушено п. 1 чек-листа тестопридатності: «Форма заявки на кредит має бути інтуїтивно зрозумілою для клієнта» — оцінне слово-маркер «інтуїтивно зрозумілою» не дає критерію «пройдено / не пройдено» і не описує елементи форми.</t>
  </si>
  <si>
    <t xml:space="preserve">Викласти GUI-70 із конкретним переліком елементів: «GUI-70. Форма «Заявка на кредит» містить обов'язкові числові поля «Сума кредиту» (Loan Amount) та «Перший внесок» (Down Payment), випадний список «З рахунку» (From account #) із номерами наявних рахунків клієнта та кнопку «Подати заявку» (Apply Now)».</t>
  </si>
  <si>
    <t xml:space="preserve">Фомін Т. В. (Ф-10, індивідуальна знахідка)</t>
  </si>
  <si>
    <t xml:space="preserve">BL-80</t>
  </si>
  <si>
    <t xml:space="preserve">Порушено п. 1 чек-листа тестопридатності: «Клас AccountLedger має працювати без помилок за будь-яких вхідних даних і в будь-яких умовах експлуатації» — класична неперевірювана вимога зі словами-маркерами «без помилок» і «за будь-яких вхідних даних».</t>
  </si>
  <si>
    <t xml:space="preserve">Замінити BL-80 на перевірювану вимогу до точності обчислень у класі AccountLedger: «BL-80. Новий об'єкт AccountLedger створюється з початковим балансом ≥ 0.00 грн (для від'ємного початкового балансу або null конструктор кидає IllegalArgumentException); усі грошові операції в AccountLedger зберігають точність BigDecimal до 2 знаків після коми за правилом HALF_UP».</t>
  </si>
  <si>
    <t xml:space="preserve">Гонтар М. П. (Г-09, індивідуальна знахідка)</t>
  </si>
  <si>
    <t xml:space="preserve">P-20</t>
  </si>
  <si>
    <t xml:space="preserve">Порушено п. 1 чек-листа тестопридатності: «Система витримує великі обсяги операцій у години пік без відчутної деградації» — відсутні числові значення навантаження, тривалості та критерії допустимої деградації.</t>
  </si>
  <si>
    <t xml:space="preserve">Викласти P-20 із вимірюваними показниками: «P-20. При піковому навантаженні у 200 одночасних клієнтів, які виконують операції входу, перегляду балансу та переказу коштів протягом 15 хвилин, 95-й перцентиль часу відповіді системи не перевищує 5,0 с, а частка помилкових відповідей сервера (HTTP 5xx) становить 0 %».</t>
  </si>
  <si>
    <t xml:space="preserve">Бугай Д. С. (Б-10, індивідуальна знахідка)</t>
  </si>
  <si>
    <t xml:space="preserve">U-10, D-10</t>
  </si>
  <si>
    <t xml:space="preserve">Порушено п. 1 чек-листа тестопридатності: у U-10 («має бути зручним і приємним для клієнтів будь-якого віку») та D-10 («Документація користувача має бути повною і зрозумілою») використано суб'єктивні маркери «зручним», «приємним», «повною і зрозумілою» без критерію успіху.</t>
  </si>
  <si>
    <t xml:space="preserve">Викласти U-10 та D-10 тестопридатно: «U-10. Будь-яка основна операція кабінету клієнта (відкриття рахунку, переказ коштів, оплата рахунку, пошук транзакцій, заявка на кредит) доступна з головного меню кабінету (GUI-40) в 1 клік і виконується користувачем не більше ніж у 3 послідовні кроки». «D-10. Онлайн-довідка користувача містить опис призначення та порядку дій для всіх 8 розділів меню кабінету клієнта за GUI-40 і не містить неробочих гіперпосилань (HTTP 404)».</t>
  </si>
  <si>
    <t xml:space="preserve">Гонтар М. П. (Г-12, індивідуальна знахідка)</t>
  </si>
  <si>
    <t xml:space="preserve">F-60</t>
  </si>
  <si>
    <t xml:space="preserve">Припущення про суперечність початкового внеску 100 грн у F-60 із мінімальною сумою кредиту 1 000 грн у BL-30.</t>
  </si>
  <si>
    <t xml:space="preserve">Узгодити початковий внесок у F-60 із BL-30.</t>
  </si>
  <si>
    <t xml:space="preserve">Гонтар М. П. (Г-13, індивідуальна знахідка)</t>
  </si>
  <si>
    <t xml:space="preserve">Відхилено після обговорення: F-60 описує відкриття депозитного/поточного рахунку (внесок 100 грн), а BL-30 — суму кредиту.</t>
  </si>
  <si>
    <t xml:space="preserve">BL-20</t>
  </si>
  <si>
    <t xml:space="preserve">Припущення, що обчислення загальної переплати за округленим A (A · n − P) суперечить правилу неокруглення проміжних обчислень у вступі до розділу 5.</t>
  </si>
  <si>
    <t xml:space="preserve">Рахувати переплату без округлення A.</t>
  </si>
  <si>
    <t xml:space="preserve">Бугай Д. С. (Б-12, індивідуальна знахідка)</t>
  </si>
  <si>
    <t xml:space="preserve">Відхилено після обговорення: у BL-20 прямо зафіксовано бізнес-правило банку (клієнт сплачує рівно округлений платіж A щомісяця).</t>
  </si>
  <si>
    <t xml:space="preserve">Матриця подвійного незалежного аудиту SRS 1.0 («ФінКит»)</t>
  </si>
  <si>
    <t xml:space="preserve">Кожен розділ SRS 1.0 перевіряють двоє учасників незалежно за 6 критеріями якості вимог у власних аркушах (КТ/СМ — Фомін Т. В., ТА — Бугай Д. С., ІТ — Гонтар М. П.)</t>
  </si>
  <si>
    <t xml:space="preserve">Розділ SRS_02_ФінКит</t>
  </si>
  <si>
    <t xml:space="preserve">Ідентифікатори / пункти</t>
  </si>
  <si>
    <t xml:space="preserve">Кількість вимог</t>
  </si>
  <si>
    <t xml:space="preserve">Перевіряючий 1 (Особистий аркуш)</t>
  </si>
  <si>
    <t xml:space="preserve">Перевіряючий 2 (Особистий аркуш)</t>
  </si>
  <si>
    <t xml:space="preserve">Знайдені дефекти (ID вимог)</t>
  </si>
  <si>
    <t xml:space="preserve">Розділ 1. Вступ + Розділ 2. Загальний опис</t>
  </si>
  <si>
    <t xml:space="preserve">п. 1.1–1.4, п. 2.1–2.3</t>
  </si>
  <si>
    <t xml:space="preserve">Фомін Т. В. (Аркуш_Фомін)</t>
  </si>
  <si>
    <t xml:space="preserve">Бугай Д. С. (Аркуш_Бугай)</t>
  </si>
  <si>
    <t xml:space="preserve">Перевірка термінів (IBAN, Денний ліміт, Овердрафт, РНОКПП) та припущень п. 2.3 як бази для F, GUI, BL</t>
  </si>
  <si>
    <t xml:space="preserve">Розділ 3. Функціональні вимоги</t>
  </si>
  <si>
    <t xml:space="preserve">F-10 .. F-140</t>
  </si>
  <si>
    <t xml:space="preserve">F-30 (суперечність із GUI-20), F-50 (неіснуючий ФК-РВ-2), F-70 (неповнота реакцій + суперечність ліміту 100 000 vs 50 000 грн), F-80 (реєстри всіх банків світу), F-90 («стандартний формат»), F-110 (500 грн vs 1 000 грн), F-130/F-140 (дублікат)</t>
  </si>
  <si>
    <t xml:space="preserve">Розділ 4. Вимоги до інтерфейсу користувача</t>
  </si>
  <si>
    <t xml:space="preserve">GUI-10 .. GUI-80</t>
  </si>
  <si>
    <t xml:space="preserve">Гонтар М. П. (Аркуш_Гонтар)</t>
  </si>
  <si>
    <t xml:space="preserve">GUI-20 (суперечність із F-30), GUI-30 (які поля обов'язкові), GUI-40 (дубль ID двічі), GUI-50 («некоректно», «помітним кольором»), GUI-60 (неповнота валідації), GUI-70 («інтуїтивно зрозумілою»), Рядок без ID після GUI-70, GUI-80 (8 год vs 15 хв у S-10)</t>
  </si>
  <si>
    <t xml:space="preserve">Розділ 5. Вимоги до бізнес-логіки модуля</t>
  </si>
  <si>
    <t xml:space="preserve">BL-10 .. BL-80</t>
  </si>
  <si>
    <t xml:space="preserve">BL-30 (1 000 грн vs 500 грн у F-110), BL-40 (50 000 грн vs 100 000 грн у F-70), BL-50 (неоднозначність формату IBAN), BL-60 (реєстр НБУ без мережі), BL-70 (відсутня реакція на овердрафт та історія), BL-80 («без помилок за будь-яких даних»)</t>
  </si>
  <si>
    <t xml:space="preserve">Розділ 6. Нефункціональні вимоги</t>
  </si>
  <si>
    <t xml:space="preserve">P-10..20, S-10..20, U-10..20, D-10..20</t>
  </si>
  <si>
    <t xml:space="preserve">P-10 (0,1 с на 2G), P-20 («великі обсяги без відчутної деградації»), S-10 (15 хв vs 8 год у GUI-80), S-20 («100 % захист»), U-10 («зручним і приємним»), D-10 («повною і зрозумілою»), D-20 (посилання на неіснуючі F-150, F-160)</t>
  </si>
  <si>
    <t xml:space="preserve">Усього пунктів / вимог для аудиту</t>
  </si>
  <si>
    <t xml:space="preserve">Кожен розділ = 2 аудитори</t>
  </si>
  <si>
    <t xml:space="preserve">Усього знайдено: 24 підтверджені дефекти (по 4 на кожний із 6 критеріїв)</t>
  </si>
  <si>
    <t xml:space="preserve">Протокол обговорення спірних дефектів («Адвокат замовника» — Фомін Т. В.)</t>
  </si>
  <si>
    <t xml:space="preserve">Сесія зведення та верифікації знахідок за чек-листами 6 критеріїв якості вимог (п. 4.9 методички Спринта 2)</t>
  </si>
  <si>
    <t xml:space="preserve">№ у Реєстрі</t>
  </si>
  <si>
    <t xml:space="preserve">Суть суперечки / сумніву</t>
  </si>
  <si>
    <t xml:space="preserve">Аргументи автора знахідки</t>
  </si>
  <si>
    <t xml:space="preserve">Позиція «Адвоката замовника» (КТ/СМ)</t>
  </si>
  <si>
    <t xml:space="preserve">Фінальне рішення команди</t>
  </si>
  <si>
    <t xml:space="preserve">Який критерій головний: Однозначність («стандартний формат») чи Повнота (відсутність реакції на порожній пошук)?</t>
  </si>
  <si>
    <t xml:space="preserve">Бугай Д. С.: не вказано формат дати, через що тестувальник не знає, вводити ДД.ММ.РРРР чи ММ-ДД-РРРР.</t>
  </si>
  <si>
    <t xml:space="preserve">Фомін Т. В.: виправлення насамперед фіксує єдиний точний формат дати ММ-ДД-РРРР, отже головний критерій — Однозначність (п. 1, 4).</t>
  </si>
  <si>
    <t xml:space="preserve">Прийнято як дефект Однозначності (№1); формат ММ-ДД-РРРР винесено у перелік питань замовнику (Q-03).</t>
  </si>
  <si>
    <t xml:space="preserve">Який денний ліміт вважати правильним при усуненні суперечності: 100 000 грн (F-70) чи 50 000 грн (BL-40)?</t>
  </si>
  <si>
    <t xml:space="preserve">Бугай Д. С.: у F-70 написано 100 000 грн, а в BL-40 — 50 000 грн.</t>
  </si>
  <si>
    <t xml:space="preserve">Фомін Т. В.: модуль бізнес-логіки TransferValidator (BL-40) та BPMN-модель Спринта 1 оперують лімітом 50 000 грн; змінювати код модуля у Спринті 4 заборонено.</t>
  </si>
  <si>
    <t xml:space="preserve">Прийнято (№10, Несуперечливість): узгодити F-70 із BL-40 (50 000 грн) та винести питання на підтвердження замовнику (Q-01).</t>
  </si>
  <si>
    <t xml:space="preserve">Чи розділяти U-10 і D-10, і який критерій головний — Однозначність чи Тестопридатність?</t>
  </si>
  <si>
    <t xml:space="preserve">Гонтар М. П.: слова «зручним і приємним» та «повною і зрозумілою» є типовими маркерами нетестопридатності (п. 4.7 методички).</t>
  </si>
  <si>
    <t xml:space="preserve">Фомін Т. В.: оскільки обидві вимоги виправляються додаванням об'єктивно спостережуваного критерію перевірки (кількість кліків/кроків та покриття 8 пунктів меню), головний критерій — Тестопридатність.</t>
  </si>
  <si>
    <t xml:space="preserve">Прийнято як дефект Тестопридатності (№24) із конкретними вимірюваними критеріями для U-10 і D-10.</t>
  </si>
  <si>
    <t xml:space="preserve">Чи суперечить початковий внесок 100 грн при відкритті рахунку (F-60) мінімальній сумі 1 000 грн у BL-30?</t>
  </si>
  <si>
    <t xml:space="preserve">Гонтар М. П.: у F-60 фігурує 100 грн, а в BL-30 мінімальна межа — 1 000 грн.</t>
  </si>
  <si>
    <t xml:space="preserve">Фомін Т. В.: заперечую як «адвокат замовника» — BL-30 стосується лише класу LoanCalculator (сума кредиту), а F-60 описує відкриття поточного/ощадного рахунку.</t>
  </si>
  <si>
    <t xml:space="preserve">Відхилено після обговорення (залишено в Реєстрі під №25 зі статусом «Відхилено»).</t>
  </si>
  <si>
    <t xml:space="preserve">Чи є дефектом несуперечливості використання округленого платежу A у формулі переплати A · n − P?</t>
  </si>
  <si>
    <t xml:space="preserve">Бугай Д. С.: у преамбулі розділу 5 сказано «проміжні обчислення не округлюються», а в BL-20 береться округлений A.</t>
  </si>
  <si>
    <t xml:space="preserve">Фомін Т. В.: заперечую — щомісячний платіж A вже є фінальним результатом методу monthlyPayment (BL-10), який клієнт фактично сплачує щомісяця в копійках.</t>
  </si>
  <si>
    <t xml:space="preserve">Відхилено після обговорення (залишено в Реєстрі під №26 зі статусом «Відхилено»).</t>
  </si>
  <si>
    <t xml:space="preserve">Підсумок аудиту SRS 1.0 за критеріями якості вимог («ФінКит»)</t>
  </si>
  <si>
    <t xml:space="preserve">Перевірка виконання нормативу Спринта 2 для команди з 3 осіб: усього ≥ 12 дефектів, на кожний критерій ≥ 2 дефекти.</t>
  </si>
  <si>
    <t xml:space="preserve">Критерій якості вимог</t>
  </si>
  <si>
    <t xml:space="preserve">Норматив (3 особи)</t>
  </si>
  <si>
    <t xml:space="preserve">Знайдено (прийнято)</t>
  </si>
  <si>
    <t xml:space="preserve">Ідентифікатори вимог із дефектами</t>
  </si>
  <si>
    <t xml:space="preserve">F-90, GUI-30, GUI-50, BL-50</t>
  </si>
  <si>
    <t xml:space="preserve">F-50, F-70, GUI-60, BL-70</t>
  </si>
  <si>
    <t xml:space="preserve">F-30 ↔ GUI-20, F-70 ↔ BL-40, F-110 ↔ BL-30, GUI-80 ↔ S-10</t>
  </si>
  <si>
    <t xml:space="preserve">F-130/F-140 (дубль), GUI-40 (дубль ID), Розд. 4 рядок 9 (без ID), D-20 (F-150/F-160)</t>
  </si>
  <si>
    <t xml:space="preserve">F-80, BL-60, P-10, S-20</t>
  </si>
  <si>
    <t xml:space="preserve">GUI-70, BL-80, P-20, U-10 / D-10</t>
  </si>
  <si>
    <t xml:space="preserve">Усього прийнятих дефектів</t>
  </si>
  <si>
    <t xml:space="preserve">100% закладених у SRS 1.0 дефектів виявлено та виправлено в SRS 1.1</t>
  </si>
  <si>
    <t xml:space="preserve">Особистий аркуш незалежного аудиту — Фомін Т. В. (КТ/СМ)</t>
  </si>
  <si>
    <t xml:space="preserve">Зона незалежного аудиту: Розділи 1–2 (Вступ, Загальний опис), Розділ 3 (F-10..F-140), Розділ 4 (GUI-10..GUI-80)</t>
  </si>
  <si>
    <t xml:space="preserve">Код запису</t>
  </si>
  <si>
    <t xml:space="preserve">Первинний критерій</t>
  </si>
  <si>
    <t xml:space="preserve">Короткий зміст знахідки в особистому аркуші</t>
  </si>
  <si>
    <t xml:space="preserve">Результат дедуплікації у зведеному Реєстрі</t>
  </si>
  <si>
    <t xml:space="preserve">Ф-01</t>
  </si>
  <si>
    <t xml:space="preserve">Повнота (п. 1, 3)</t>
  </si>
  <si>
    <t xml:space="preserve">Посилання на відсутній документ «Регламент виписок ФК-РВ-2»; склад колонок таблиці невідомий.</t>
  </si>
  <si>
    <t xml:space="preserve">№ 5 (одноосібна знахідка)</t>
  </si>
  <si>
    <t xml:space="preserve">Ф-02</t>
  </si>
  <si>
    <t xml:space="preserve">Несуперечливість (п. 2)</t>
  </si>
  <si>
    <t xml:space="preserve">Денний ліміт 100 000 грн у F-70 суперечить ліміту 50 000 грн у BL-40.</t>
  </si>
  <si>
    <t xml:space="preserve">№ 10 (збіг із Б-02)</t>
  </si>
  <si>
    <t xml:space="preserve">Ф-03</t>
  </si>
  <si>
    <t xml:space="preserve">Здійсненність (п. 1)</t>
  </si>
  <si>
    <t xml:space="preserve">Перевірка одержувача «в реєстрах усіх банків світу» та його платоспроможності нездійсненна.</t>
  </si>
  <si>
    <t xml:space="preserve">№ 17 (збіг із Б-06)</t>
  </si>
  <si>
    <t xml:space="preserve">Ф-04</t>
  </si>
  <si>
    <t xml:space="preserve">Однозначність (п. 1, 4)</t>
  </si>
  <si>
    <t xml:space="preserve">Словосполучення «у стандартному форматі» для дати неоднозначне (ММ-ДД-РРРР чи ДД.ММ.РРРР).</t>
  </si>
  <si>
    <t xml:space="preserve">№ 1 (збіг із Б-03)</t>
  </si>
  <si>
    <t xml:space="preserve">Ф-05</t>
  </si>
  <si>
    <t xml:space="preserve">Простежуваність (п. 1, 5)</t>
  </si>
  <si>
    <t xml:space="preserve">Повне дублювання форми служби підтримки у двох вимогах із різним пріоритетом (Medium vs Low).</t>
  </si>
  <si>
    <t xml:space="preserve">№ 13 (збіг із Б-05)</t>
  </si>
  <si>
    <t xml:space="preserve">Ф-06</t>
  </si>
  <si>
    <t xml:space="preserve">У F-30 для пошуку клієнта вказано 7 полів, а в GUI-20 — 4 поля (включно з телефоном).</t>
  </si>
  <si>
    <t xml:space="preserve">№ 9 (збіг із Г-01)</t>
  </si>
  <si>
    <t xml:space="preserve">Ф-07</t>
  </si>
  <si>
    <t xml:space="preserve">Вказано реакцію для «кожного порожнього обов'язкового поля», але не перелічено, які з 11 полів є обов'язковими.</t>
  </si>
  <si>
    <t xml:space="preserve">№ 2 (одноосібна знахідка)</t>
  </si>
  <si>
    <t xml:space="preserve">Ф-08</t>
  </si>
  <si>
    <t xml:space="preserve">GUI-40 (двічі)</t>
  </si>
  <si>
    <t xml:space="preserve">Простежуваність (п. 2)</t>
  </si>
  <si>
    <t xml:space="preserve">Два сусідні рядки розділу 4 мають однаковий ідентифікатор GUI-40.</t>
  </si>
  <si>
    <t xml:space="preserve">№ 14 (збіг із Г-02)</t>
  </si>
  <si>
    <t xml:space="preserve">Ф-09</t>
  </si>
  <si>
    <t xml:space="preserve">Однозначність (п. 1, 2)</t>
  </si>
  <si>
    <t xml:space="preserve">Нечіткі формулювання «введено некоректно», «відповідне повідомлення», «помітним кольором».</t>
  </si>
  <si>
    <t xml:space="preserve">№ 3 (збіг із Г-03)</t>
  </si>
  <si>
    <t xml:space="preserve">Ф-10</t>
  </si>
  <si>
    <t xml:space="preserve">Тестопридатність (п. 1)</t>
  </si>
  <si>
    <t xml:space="preserve">Оцінне формулювання «має бути інтуїтивно зрозумілою для клієнта» без переліку полів.</t>
  </si>
  <si>
    <t xml:space="preserve">№ 21 (одноосібна знахідка)</t>
  </si>
  <si>
    <t xml:space="preserve">Ф-11</t>
  </si>
  <si>
    <t xml:space="preserve">Активність сеансу 8 годин у GUI-80 прямо суперечить тайм-ауту 15 хвилин у S-10.</t>
  </si>
  <si>
    <t xml:space="preserve">№ 12 (збіг із Г-05)</t>
  </si>
  <si>
    <t xml:space="preserve">Особистий аркуш незалежного аудиту — Бугай Д. С. (ТА)</t>
  </si>
  <si>
    <t xml:space="preserve">Зона незалежного аудиту: Розділи 1–2 (Вступ, Загальний опис), Розділ 3 (F-10..F-140), Розділ 5 (BL-10..BL-80), Розділ 6 (P, S, U, D)</t>
  </si>
  <si>
    <t xml:space="preserve">Б-01</t>
  </si>
  <si>
    <t xml:space="preserve">Повнота (п. 4, 5)</t>
  </si>
  <si>
    <t xml:space="preserve">Відсутня реакція системи на суму більшу за баланс, перевищення ліміту або переказ на той самий рахунок.</t>
  </si>
  <si>
    <t xml:space="preserve">№ 6 (одноосібна знахідка)</t>
  </si>
  <si>
    <t xml:space="preserve">Б-02</t>
  </si>
  <si>
    <t xml:space="preserve">Розбіжність денного ліміту переказів: 100 000 грн у F-70 проти 50 000 грн у BL-40.</t>
  </si>
  <si>
    <t xml:space="preserve">№ 10 (збіг із Ф-02)</t>
  </si>
  <si>
    <t xml:space="preserve">Б-03</t>
  </si>
  <si>
    <t xml:space="preserve">Повнота / Однозначність</t>
  </si>
  <si>
    <t xml:space="preserve">Не вказано формат дати для пошуку та що показувати, якщо транзакцій не знайдено.</t>
  </si>
  <si>
    <t xml:space="preserve">№ 1 (збіг із Ф-04, обрано Однозначність)</t>
  </si>
  <si>
    <t xml:space="preserve">Б-04</t>
  </si>
  <si>
    <t xml:space="preserve">Мінімальна сума кредиту 500 грн у F-110 суперечить діапазону 1 000..1 000 000 грн у BL-30.</t>
  </si>
  <si>
    <t xml:space="preserve">№ 11 (збіг із Г-06)</t>
  </si>
  <si>
    <t xml:space="preserve">Б-05</t>
  </si>
  <si>
    <t xml:space="preserve">Простежуваність (п. 1)</t>
  </si>
  <si>
    <t xml:space="preserve">Дублювання вимоги до форми зворотного зв'язку служби підтримки.</t>
  </si>
  <si>
    <t xml:space="preserve">№ 13 (збіг із Ф-05)</t>
  </si>
  <si>
    <t xml:space="preserve">Б-06</t>
  </si>
  <si>
    <t xml:space="preserve">Неможливо перевірити одержувача в реєстрах усіх банків світу.</t>
  </si>
  <si>
    <t xml:space="preserve">№ 17 (збіг із Ф-03)</t>
  </si>
  <si>
    <t xml:space="preserve">Б-07</t>
  </si>
  <si>
    <t xml:space="preserve">Повнота (п. 1, 2, 5)</t>
  </si>
  <si>
    <t xml:space="preserve">Не визначено поведінку withdraw(amount) при amount &gt; balance() (овердрафт) і метод отримання історії.</t>
  </si>
  <si>
    <t xml:space="preserve">№ 8 (одноосібна знахідка)</t>
  </si>
  <si>
    <t xml:space="preserve">Б-08</t>
  </si>
  <si>
    <t xml:space="preserve">Завантаження сторінки за 0,1 с на мобільному 2G технічно неможливе.</t>
  </si>
  <si>
    <t xml:space="preserve">№ 19 (збіг із Г-11)</t>
  </si>
  <si>
    <t xml:space="preserve">Б-09</t>
  </si>
  <si>
    <t xml:space="preserve">Неможливо гарантувати абсолютний «100 % захист від шахрайських операцій».</t>
  </si>
  <si>
    <t xml:space="preserve">№ 20 (одноосібна знахідка)</t>
  </si>
  <si>
    <t xml:space="preserve">Б-10</t>
  </si>
  <si>
    <t xml:space="preserve">Невимірювані слова «великі обсяги операцій» та «без відчутної деградації».</t>
  </si>
  <si>
    <t xml:space="preserve">№ 23 (одноосібна знахідка)</t>
  </si>
  <si>
    <t xml:space="preserve">Б-11</t>
  </si>
  <si>
    <t xml:space="preserve">Простежуваність (п. 2, 3)</t>
  </si>
  <si>
    <t xml:space="preserve">Посилання на неіснуючі ідентифікатори F-150 та F-160.</t>
  </si>
  <si>
    <t xml:space="preserve">№ 16 (одноосібна знахідка)</t>
  </si>
  <si>
    <t xml:space="preserve">Б-12</t>
  </si>
  <si>
    <t xml:space="preserve">Використання округленого A у формулі переплати A · n − P.</t>
  </si>
  <si>
    <t xml:space="preserve">№ 26 (відхилено на сесії з «адвокатом замовника»)</t>
  </si>
  <si>
    <t xml:space="preserve">Особистий аркуш незалежного аудиту — Гонтар М. П. (ІТ)</t>
  </si>
  <si>
    <t xml:space="preserve">Зона незалежного аудиту: Розділ 4 (GUI-10..GUI-80), Розділ 5 (BL-10..BL-80), Розділ 6 (P, S, U, D) та міжрозділова узгодженість</t>
  </si>
  <si>
    <t xml:space="preserve">Г-01</t>
  </si>
  <si>
    <t xml:space="preserve">GUI-20, F-30</t>
  </si>
  <si>
    <t xml:space="preserve">Невідповідність переліку полів форми «Пошук клієнта» між GUI-20 (4 поля) і F-30 (7 полів).</t>
  </si>
  <si>
    <t xml:space="preserve">№ 9 (збіг із Ф-06)</t>
  </si>
  <si>
    <t xml:space="preserve">Г-02</t>
  </si>
  <si>
    <t xml:space="preserve">GUI-40</t>
  </si>
  <si>
    <t xml:space="preserve">Дублювання ідентифікатора GUI-40 у двох різних вимогах розділу 4.</t>
  </si>
  <si>
    <t xml:space="preserve">№ 14 (збіг із Ф-08)</t>
  </si>
  <si>
    <t xml:space="preserve">Г-03</t>
  </si>
  <si>
    <t xml:space="preserve">Не визначено, які саме значення суми вважаються «некоректними» та який текст виводиться.</t>
  </si>
  <si>
    <t xml:space="preserve">№ 3 (збіг із Ф-09)</t>
  </si>
  <si>
    <t xml:space="preserve">Г-04</t>
  </si>
  <si>
    <t xml:space="preserve">Не описано реакцію форми оплати рахунку на порожні поля, нечисловий рахунок і незбіг підтвердження.</t>
  </si>
  <si>
    <t xml:space="preserve">№ 7 (одноосібна знахідка)</t>
  </si>
  <si>
    <t xml:space="preserve">Г-05</t>
  </si>
  <si>
    <t xml:space="preserve">Суперечність тривалості сеансу: 8 годин у GUI-80 проти 15 хвилин бездіяльності в S-10.</t>
  </si>
  <si>
    <t xml:space="preserve">№ 12 (збіг із Ф-11)</t>
  </si>
  <si>
    <t xml:space="preserve">Г-06</t>
  </si>
  <si>
    <t xml:space="preserve">BL-30, F-110</t>
  </si>
  <si>
    <t xml:space="preserve">У BL-30 мінімальна сума кредиту 1 000 грн, а у F-110 — 500 грн.</t>
  </si>
  <si>
    <t xml:space="preserve">№ 11 (збіг із Б-04)</t>
  </si>
  <si>
    <t xml:space="preserve">Г-07</t>
  </si>
  <si>
    <t xml:space="preserve">Однозначність (п. 2, 4)</t>
  </si>
  <si>
    <t xml:space="preserve">Неоднозначність «українського формату IBAN» для юніт-тестів (регістр, пробіли, null, регулярний вираз).</t>
  </si>
  <si>
    <t xml:space="preserve">№ 4 (одноосібна знахідка)</t>
  </si>
  <si>
    <t xml:space="preserve">Г-08</t>
  </si>
  <si>
    <t xml:space="preserve">Вимога перевіряти рахунок у реєстрі НБУ в реальному часі «без мережевих з'єднань» нездійсненна.</t>
  </si>
  <si>
    <t xml:space="preserve">№ 18 (одноосібна знахідка)</t>
  </si>
  <si>
    <t xml:space="preserve">Г-09</t>
  </si>
  <si>
    <t xml:space="preserve">Неперевірюване формулювання «працювати без помилок за будь-яких вхідних даних і в будь-яких умовах».</t>
  </si>
  <si>
    <t xml:space="preserve">№ 22 (одноосібна знахідка)</t>
  </si>
  <si>
    <t xml:space="preserve">Г-10</t>
  </si>
  <si>
    <t xml:space="preserve">Рядок після GUI-70</t>
  </si>
  <si>
    <t xml:space="preserve">Рядок про червоний колір повідомлень про помилки не має ідентифікатора в таблиці розділу 4.</t>
  </si>
  <si>
    <t xml:space="preserve">№ 15 (одноосібна знахідка)</t>
  </si>
  <si>
    <t xml:space="preserve">Г-11</t>
  </si>
  <si>
    <t xml:space="preserve">Недосяжний час завантаження 0,1 с на мережі 2G.</t>
  </si>
  <si>
    <t xml:space="preserve">№ 19 (збіг із Б-08)</t>
  </si>
  <si>
    <t xml:space="preserve">Г-12</t>
  </si>
  <si>
    <t xml:space="preserve">Суб'єктивні оцінні слова «зручним і приємним» (U-10) та «повною і зрозумілою» (D-10).</t>
  </si>
  <si>
    <t xml:space="preserve">№ 24 (одноосібна знахідка)</t>
  </si>
  <si>
    <t xml:space="preserve">Г-13</t>
  </si>
  <si>
    <t xml:space="preserve">Питання щодо початкового внеску 100 грн у F-60 порівняно з лімітом 1 000 грн у BL-30.</t>
  </si>
  <si>
    <t xml:space="preserve">№ 25 (відхилено на сесії з «адвокатом замовника»)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</si>
</sst>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3152C"/>
      <name val="Calibri"/>
      <family val="0"/>
      <charset val="1"/>
    </font>
    <font>
      <i val="true"/>
      <sz val="10"/>
      <color rgb="FF4A3B5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F1F1F"/>
      <name val="Calibri"/>
      <family val="0"/>
      <charset val="1"/>
    </font>
    <font>
      <b val="true"/>
      <sz val="10"/>
      <color rgb="FF1F1F1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B234A"/>
        <bgColor rgb="FF23152C"/>
      </patternFill>
    </fill>
    <fill>
      <patternFill patternType="solid">
        <fgColor rgb="FFD1E7DD"/>
        <bgColor rgb="FFEAE4F0"/>
      </patternFill>
    </fill>
    <fill>
      <patternFill patternType="solid">
        <fgColor rgb="FFF8F6FA"/>
        <bgColor rgb="FFFFFFFF"/>
      </patternFill>
    </fill>
    <fill>
      <patternFill patternType="solid">
        <fgColor rgb="FFF8D7DA"/>
        <bgColor rgb="FFEAE4F0"/>
      </patternFill>
    </fill>
    <fill>
      <patternFill patternType="solid">
        <fgColor rgb="FFEAE4F0"/>
        <bgColor rgb="FFF8D7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4CCE0"/>
      </left>
      <right style="thin">
        <color rgb="FFD4CCE0"/>
      </right>
      <top style="thin">
        <color rgb="FFD4CCE0"/>
      </top>
      <bottom style="thin">
        <color rgb="FFD4CCE0"/>
      </bottom>
      <diagonal/>
    </border>
    <border diagonalUp="false" diagonalDown="false">
      <left style="thin">
        <color rgb="FFD4CCE0"/>
      </left>
      <right style="thin">
        <color rgb="FFD4CCE0"/>
      </right>
      <top style="thin">
        <color rgb="FF3B234A"/>
      </top>
      <bottom style="double">
        <color rgb="FF3B23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6FA"/>
      <rgbColor rgb="FFEAE4F0"/>
      <rgbColor rgb="FF660066"/>
      <rgbColor rgb="FFFF8080"/>
      <rgbColor rgb="FF0066CC"/>
      <rgbColor rgb="FFD4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D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23152C"/>
      <rgbColor rgb="FF1F1F1F"/>
      <rgbColor rgb="FF993300"/>
      <rgbColor rgb="FF993366"/>
      <rgbColor rgb="FF4A3B56"/>
      <rgbColor rgb="FF3B23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8"/>
    <col collapsed="false" customWidth="true" hidden="false" outlineLevel="0" max="4" min="4" style="0" width="48"/>
    <col collapsed="false" customWidth="true" hidden="false" outlineLevel="0" max="5" min="5" style="0" width="56"/>
    <col collapsed="false" customWidth="true" hidden="false" outlineLevel="0" max="7" min="6" style="0" width="2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3" t="s">
        <v>8</v>
      </c>
    </row>
    <row r="5" customFormat="false" ht="54" hidden="false" customHeight="true" outlineLevel="0" collapsed="false">
      <c r="A5" s="5" t="n">
        <v>1</v>
      </c>
      <c r="B5" s="6" t="s">
        <v>9</v>
      </c>
      <c r="C5" s="6" t="s">
        <v>10</v>
      </c>
      <c r="D5" s="7" t="s">
        <v>11</v>
      </c>
      <c r="E5" s="7" t="s">
        <v>12</v>
      </c>
      <c r="F5" s="7" t="s">
        <v>13</v>
      </c>
      <c r="G5" s="8" t="s">
        <v>14</v>
      </c>
    </row>
    <row r="6" customFormat="false" ht="54" hidden="false" customHeight="true" outlineLevel="0" collapsed="false">
      <c r="A6" s="9" t="n">
        <v>2</v>
      </c>
      <c r="B6" s="10" t="s">
        <v>15</v>
      </c>
      <c r="C6" s="10" t="s">
        <v>10</v>
      </c>
      <c r="D6" s="11" t="s">
        <v>16</v>
      </c>
      <c r="E6" s="11" t="s">
        <v>17</v>
      </c>
      <c r="F6" s="11" t="s">
        <v>18</v>
      </c>
      <c r="G6" s="8" t="s">
        <v>14</v>
      </c>
    </row>
    <row r="7" customFormat="false" ht="54" hidden="false" customHeight="true" outlineLevel="0" collapsed="false">
      <c r="A7" s="5" t="n">
        <v>3</v>
      </c>
      <c r="B7" s="6" t="s">
        <v>19</v>
      </c>
      <c r="C7" s="6" t="s">
        <v>10</v>
      </c>
      <c r="D7" s="7" t="s">
        <v>20</v>
      </c>
      <c r="E7" s="7" t="s">
        <v>21</v>
      </c>
      <c r="F7" s="7" t="s">
        <v>22</v>
      </c>
      <c r="G7" s="8" t="s">
        <v>14</v>
      </c>
    </row>
    <row r="8" customFormat="false" ht="54" hidden="false" customHeight="true" outlineLevel="0" collapsed="false">
      <c r="A8" s="9" t="n">
        <v>4</v>
      </c>
      <c r="B8" s="10" t="s">
        <v>23</v>
      </c>
      <c r="C8" s="10" t="s">
        <v>10</v>
      </c>
      <c r="D8" s="11" t="s">
        <v>24</v>
      </c>
      <c r="E8" s="11" t="s">
        <v>25</v>
      </c>
      <c r="F8" s="11" t="s">
        <v>26</v>
      </c>
      <c r="G8" s="8" t="s">
        <v>14</v>
      </c>
    </row>
    <row r="9" customFormat="false" ht="54" hidden="false" customHeight="true" outlineLevel="0" collapsed="false">
      <c r="A9" s="5" t="n">
        <v>5</v>
      </c>
      <c r="B9" s="6" t="s">
        <v>27</v>
      </c>
      <c r="C9" s="6" t="s">
        <v>28</v>
      </c>
      <c r="D9" s="7" t="s">
        <v>29</v>
      </c>
      <c r="E9" s="7" t="s">
        <v>30</v>
      </c>
      <c r="F9" s="7" t="s">
        <v>31</v>
      </c>
      <c r="G9" s="8" t="s">
        <v>14</v>
      </c>
    </row>
    <row r="10" customFormat="false" ht="54" hidden="false" customHeight="true" outlineLevel="0" collapsed="false">
      <c r="A10" s="9" t="n">
        <v>6</v>
      </c>
      <c r="B10" s="10" t="s">
        <v>32</v>
      </c>
      <c r="C10" s="10" t="s">
        <v>28</v>
      </c>
      <c r="D10" s="11" t="s">
        <v>33</v>
      </c>
      <c r="E10" s="11" t="s">
        <v>34</v>
      </c>
      <c r="F10" s="11" t="s">
        <v>35</v>
      </c>
      <c r="G10" s="8" t="s">
        <v>14</v>
      </c>
    </row>
    <row r="11" customFormat="false" ht="54" hidden="false" customHeight="true" outlineLevel="0" collapsed="false">
      <c r="A11" s="5" t="n">
        <v>7</v>
      </c>
      <c r="B11" s="6" t="s">
        <v>36</v>
      </c>
      <c r="C11" s="6" t="s">
        <v>28</v>
      </c>
      <c r="D11" s="7" t="s">
        <v>37</v>
      </c>
      <c r="E11" s="7" t="s">
        <v>38</v>
      </c>
      <c r="F11" s="7" t="s">
        <v>39</v>
      </c>
      <c r="G11" s="8" t="s">
        <v>14</v>
      </c>
    </row>
    <row r="12" customFormat="false" ht="54" hidden="false" customHeight="true" outlineLevel="0" collapsed="false">
      <c r="A12" s="9" t="n">
        <v>8</v>
      </c>
      <c r="B12" s="10" t="s">
        <v>40</v>
      </c>
      <c r="C12" s="10" t="s">
        <v>28</v>
      </c>
      <c r="D12" s="11" t="s">
        <v>41</v>
      </c>
      <c r="E12" s="11" t="s">
        <v>42</v>
      </c>
      <c r="F12" s="11" t="s">
        <v>43</v>
      </c>
      <c r="G12" s="8" t="s">
        <v>14</v>
      </c>
    </row>
    <row r="13" customFormat="false" ht="54" hidden="false" customHeight="true" outlineLevel="0" collapsed="false">
      <c r="A13" s="5" t="n">
        <v>9</v>
      </c>
      <c r="B13" s="6" t="s">
        <v>44</v>
      </c>
      <c r="C13" s="6" t="s">
        <v>45</v>
      </c>
      <c r="D13" s="7" t="s">
        <v>46</v>
      </c>
      <c r="E13" s="7" t="s">
        <v>47</v>
      </c>
      <c r="F13" s="7" t="s">
        <v>48</v>
      </c>
      <c r="G13" s="8" t="s">
        <v>14</v>
      </c>
    </row>
    <row r="14" customFormat="false" ht="54" hidden="false" customHeight="true" outlineLevel="0" collapsed="false">
      <c r="A14" s="9" t="n">
        <v>10</v>
      </c>
      <c r="B14" s="10" t="s">
        <v>49</v>
      </c>
      <c r="C14" s="10" t="s">
        <v>45</v>
      </c>
      <c r="D14" s="11" t="s">
        <v>50</v>
      </c>
      <c r="E14" s="11" t="s">
        <v>51</v>
      </c>
      <c r="F14" s="11" t="s">
        <v>52</v>
      </c>
      <c r="G14" s="8" t="s">
        <v>14</v>
      </c>
    </row>
    <row r="15" customFormat="false" ht="54" hidden="false" customHeight="true" outlineLevel="0" collapsed="false">
      <c r="A15" s="5" t="n">
        <v>11</v>
      </c>
      <c r="B15" s="6" t="s">
        <v>53</v>
      </c>
      <c r="C15" s="6" t="s">
        <v>45</v>
      </c>
      <c r="D15" s="7" t="s">
        <v>54</v>
      </c>
      <c r="E15" s="7" t="s">
        <v>55</v>
      </c>
      <c r="F15" s="7" t="s">
        <v>56</v>
      </c>
      <c r="G15" s="8" t="s">
        <v>14</v>
      </c>
    </row>
    <row r="16" customFormat="false" ht="54" hidden="false" customHeight="true" outlineLevel="0" collapsed="false">
      <c r="A16" s="9" t="n">
        <v>12</v>
      </c>
      <c r="B16" s="10" t="s">
        <v>57</v>
      </c>
      <c r="C16" s="10" t="s">
        <v>45</v>
      </c>
      <c r="D16" s="11" t="s">
        <v>58</v>
      </c>
      <c r="E16" s="11" t="s">
        <v>59</v>
      </c>
      <c r="F16" s="11" t="s">
        <v>60</v>
      </c>
      <c r="G16" s="8" t="s">
        <v>14</v>
      </c>
    </row>
    <row r="17" customFormat="false" ht="54" hidden="false" customHeight="true" outlineLevel="0" collapsed="false">
      <c r="A17" s="5" t="n">
        <v>13</v>
      </c>
      <c r="B17" s="6" t="s">
        <v>61</v>
      </c>
      <c r="C17" s="6" t="s">
        <v>62</v>
      </c>
      <c r="D17" s="7" t="s">
        <v>63</v>
      </c>
      <c r="E17" s="7" t="s">
        <v>64</v>
      </c>
      <c r="F17" s="7" t="s">
        <v>65</v>
      </c>
      <c r="G17" s="8" t="s">
        <v>14</v>
      </c>
    </row>
    <row r="18" customFormat="false" ht="54" hidden="false" customHeight="true" outlineLevel="0" collapsed="false">
      <c r="A18" s="9" t="n">
        <v>14</v>
      </c>
      <c r="B18" s="10" t="s">
        <v>66</v>
      </c>
      <c r="C18" s="10" t="s">
        <v>62</v>
      </c>
      <c r="D18" s="11" t="s">
        <v>67</v>
      </c>
      <c r="E18" s="11" t="s">
        <v>68</v>
      </c>
      <c r="F18" s="11" t="s">
        <v>69</v>
      </c>
      <c r="G18" s="8" t="s">
        <v>14</v>
      </c>
    </row>
    <row r="19" customFormat="false" ht="54" hidden="false" customHeight="true" outlineLevel="0" collapsed="false">
      <c r="A19" s="5" t="n">
        <v>15</v>
      </c>
      <c r="B19" s="6" t="s">
        <v>70</v>
      </c>
      <c r="C19" s="6" t="s">
        <v>62</v>
      </c>
      <c r="D19" s="7" t="s">
        <v>71</v>
      </c>
      <c r="E19" s="7" t="s">
        <v>72</v>
      </c>
      <c r="F19" s="7" t="s">
        <v>73</v>
      </c>
      <c r="G19" s="8" t="s">
        <v>14</v>
      </c>
    </row>
    <row r="20" customFormat="false" ht="54" hidden="false" customHeight="true" outlineLevel="0" collapsed="false">
      <c r="A20" s="9" t="n">
        <v>16</v>
      </c>
      <c r="B20" s="10" t="s">
        <v>74</v>
      </c>
      <c r="C20" s="10" t="s">
        <v>62</v>
      </c>
      <c r="D20" s="11" t="s">
        <v>75</v>
      </c>
      <c r="E20" s="11" t="s">
        <v>76</v>
      </c>
      <c r="F20" s="11" t="s">
        <v>77</v>
      </c>
      <c r="G20" s="8" t="s">
        <v>14</v>
      </c>
    </row>
    <row r="21" customFormat="false" ht="54" hidden="false" customHeight="true" outlineLevel="0" collapsed="false">
      <c r="A21" s="5" t="n">
        <v>17</v>
      </c>
      <c r="B21" s="6" t="s">
        <v>78</v>
      </c>
      <c r="C21" s="6" t="s">
        <v>79</v>
      </c>
      <c r="D21" s="7" t="s">
        <v>80</v>
      </c>
      <c r="E21" s="7" t="s">
        <v>81</v>
      </c>
      <c r="F21" s="7" t="s">
        <v>82</v>
      </c>
      <c r="G21" s="8" t="s">
        <v>14</v>
      </c>
    </row>
    <row r="22" customFormat="false" ht="54" hidden="false" customHeight="true" outlineLevel="0" collapsed="false">
      <c r="A22" s="9" t="n">
        <v>18</v>
      </c>
      <c r="B22" s="10" t="s">
        <v>83</v>
      </c>
      <c r="C22" s="10" t="s">
        <v>79</v>
      </c>
      <c r="D22" s="11" t="s">
        <v>84</v>
      </c>
      <c r="E22" s="11" t="s">
        <v>85</v>
      </c>
      <c r="F22" s="11" t="s">
        <v>86</v>
      </c>
      <c r="G22" s="8" t="s">
        <v>14</v>
      </c>
    </row>
    <row r="23" customFormat="false" ht="54" hidden="false" customHeight="true" outlineLevel="0" collapsed="false">
      <c r="A23" s="5" t="n">
        <v>19</v>
      </c>
      <c r="B23" s="6" t="s">
        <v>87</v>
      </c>
      <c r="C23" s="6" t="s">
        <v>79</v>
      </c>
      <c r="D23" s="7" t="s">
        <v>88</v>
      </c>
      <c r="E23" s="7" t="s">
        <v>89</v>
      </c>
      <c r="F23" s="7" t="s">
        <v>90</v>
      </c>
      <c r="G23" s="8" t="s">
        <v>14</v>
      </c>
    </row>
    <row r="24" customFormat="false" ht="54" hidden="false" customHeight="true" outlineLevel="0" collapsed="false">
      <c r="A24" s="9" t="n">
        <v>20</v>
      </c>
      <c r="B24" s="10" t="s">
        <v>91</v>
      </c>
      <c r="C24" s="10" t="s">
        <v>79</v>
      </c>
      <c r="D24" s="11" t="s">
        <v>92</v>
      </c>
      <c r="E24" s="11" t="s">
        <v>93</v>
      </c>
      <c r="F24" s="11" t="s">
        <v>94</v>
      </c>
      <c r="G24" s="8" t="s">
        <v>14</v>
      </c>
    </row>
    <row r="25" customFormat="false" ht="54" hidden="false" customHeight="true" outlineLevel="0" collapsed="false">
      <c r="A25" s="5" t="n">
        <v>21</v>
      </c>
      <c r="B25" s="6" t="s">
        <v>95</v>
      </c>
      <c r="C25" s="6" t="s">
        <v>96</v>
      </c>
      <c r="D25" s="7" t="s">
        <v>97</v>
      </c>
      <c r="E25" s="7" t="s">
        <v>98</v>
      </c>
      <c r="F25" s="7" t="s">
        <v>99</v>
      </c>
      <c r="G25" s="8" t="s">
        <v>14</v>
      </c>
    </row>
    <row r="26" customFormat="false" ht="54" hidden="false" customHeight="true" outlineLevel="0" collapsed="false">
      <c r="A26" s="9" t="n">
        <v>22</v>
      </c>
      <c r="B26" s="10" t="s">
        <v>100</v>
      </c>
      <c r="C26" s="10" t="s">
        <v>96</v>
      </c>
      <c r="D26" s="11" t="s">
        <v>101</v>
      </c>
      <c r="E26" s="11" t="s">
        <v>102</v>
      </c>
      <c r="F26" s="11" t="s">
        <v>103</v>
      </c>
      <c r="G26" s="8" t="s">
        <v>14</v>
      </c>
    </row>
    <row r="27" customFormat="false" ht="54" hidden="false" customHeight="true" outlineLevel="0" collapsed="false">
      <c r="A27" s="5" t="n">
        <v>23</v>
      </c>
      <c r="B27" s="6" t="s">
        <v>104</v>
      </c>
      <c r="C27" s="6" t="s">
        <v>96</v>
      </c>
      <c r="D27" s="7" t="s">
        <v>105</v>
      </c>
      <c r="E27" s="7" t="s">
        <v>106</v>
      </c>
      <c r="F27" s="7" t="s">
        <v>107</v>
      </c>
      <c r="G27" s="8" t="s">
        <v>14</v>
      </c>
    </row>
    <row r="28" customFormat="false" ht="54" hidden="false" customHeight="true" outlineLevel="0" collapsed="false">
      <c r="A28" s="9" t="n">
        <v>24</v>
      </c>
      <c r="B28" s="10" t="s">
        <v>108</v>
      </c>
      <c r="C28" s="10" t="s">
        <v>96</v>
      </c>
      <c r="D28" s="11" t="s">
        <v>109</v>
      </c>
      <c r="E28" s="11" t="s">
        <v>110</v>
      </c>
      <c r="F28" s="11" t="s">
        <v>111</v>
      </c>
      <c r="G28" s="8" t="s">
        <v>14</v>
      </c>
    </row>
    <row r="29" customFormat="false" ht="54" hidden="false" customHeight="true" outlineLevel="0" collapsed="false">
      <c r="A29" s="5" t="n">
        <v>25</v>
      </c>
      <c r="B29" s="6" t="s">
        <v>112</v>
      </c>
      <c r="C29" s="6" t="s">
        <v>45</v>
      </c>
      <c r="D29" s="7" t="s">
        <v>113</v>
      </c>
      <c r="E29" s="7" t="s">
        <v>114</v>
      </c>
      <c r="F29" s="7" t="s">
        <v>115</v>
      </c>
      <c r="G29" s="12" t="s">
        <v>116</v>
      </c>
    </row>
    <row r="30" customFormat="false" ht="54" hidden="false" customHeight="true" outlineLevel="0" collapsed="false">
      <c r="A30" s="9" t="n">
        <v>26</v>
      </c>
      <c r="B30" s="10" t="s">
        <v>117</v>
      </c>
      <c r="C30" s="10" t="s">
        <v>45</v>
      </c>
      <c r="D30" s="11" t="s">
        <v>118</v>
      </c>
      <c r="E30" s="11" t="s">
        <v>119</v>
      </c>
      <c r="F30" s="11" t="s">
        <v>120</v>
      </c>
      <c r="G30" s="12" t="s">
        <v>121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6" min="5" style="0" width="26"/>
    <col collapsed="false" customWidth="true" hidden="false" outlineLevel="0" max="7" min="7" style="0" width="58"/>
  </cols>
  <sheetData>
    <row r="1" customFormat="false" ht="25.5" hidden="false" customHeight="true" outlineLevel="0" collapsed="false">
      <c r="A1" s="1" t="s">
        <v>122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123</v>
      </c>
      <c r="B2" s="2"/>
      <c r="C2" s="2"/>
      <c r="D2" s="2"/>
      <c r="E2" s="2"/>
      <c r="F2" s="2"/>
      <c r="G2" s="2"/>
    </row>
    <row r="4" customFormat="false" ht="25.5" hidden="false" customHeight="true" outlineLevel="0" collapsed="false">
      <c r="A4" s="3" t="s">
        <v>2</v>
      </c>
      <c r="B4" s="4" t="s">
        <v>124</v>
      </c>
      <c r="C4" s="4" t="s">
        <v>125</v>
      </c>
      <c r="D4" s="3" t="s">
        <v>126</v>
      </c>
      <c r="E4" s="4" t="s">
        <v>127</v>
      </c>
      <c r="F4" s="4" t="s">
        <v>128</v>
      </c>
      <c r="G4" s="4" t="s">
        <v>129</v>
      </c>
    </row>
    <row r="5" customFormat="false" ht="45.75" hidden="false" customHeight="true" outlineLevel="0" collapsed="false">
      <c r="A5" s="5" t="n">
        <v>1</v>
      </c>
      <c r="B5" s="13" t="s">
        <v>130</v>
      </c>
      <c r="C5" s="14" t="s">
        <v>131</v>
      </c>
      <c r="D5" s="5" t="n">
        <v>6</v>
      </c>
      <c r="E5" s="14" t="s">
        <v>132</v>
      </c>
      <c r="F5" s="14" t="s">
        <v>133</v>
      </c>
      <c r="G5" s="7" t="s">
        <v>134</v>
      </c>
    </row>
    <row r="6" customFormat="false" ht="45.75" hidden="false" customHeight="true" outlineLevel="0" collapsed="false">
      <c r="A6" s="9" t="n">
        <v>2</v>
      </c>
      <c r="B6" s="15" t="s">
        <v>135</v>
      </c>
      <c r="C6" s="16" t="s">
        <v>136</v>
      </c>
      <c r="D6" s="9" t="n">
        <v>14</v>
      </c>
      <c r="E6" s="16" t="s">
        <v>132</v>
      </c>
      <c r="F6" s="16" t="s">
        <v>133</v>
      </c>
      <c r="G6" s="11" t="s">
        <v>137</v>
      </c>
    </row>
    <row r="7" customFormat="false" ht="45.75" hidden="false" customHeight="true" outlineLevel="0" collapsed="false">
      <c r="A7" s="5" t="n">
        <v>3</v>
      </c>
      <c r="B7" s="13" t="s">
        <v>138</v>
      </c>
      <c r="C7" s="14" t="s">
        <v>139</v>
      </c>
      <c r="D7" s="5" t="n">
        <v>9</v>
      </c>
      <c r="E7" s="14" t="s">
        <v>132</v>
      </c>
      <c r="F7" s="14" t="s">
        <v>140</v>
      </c>
      <c r="G7" s="7" t="s">
        <v>141</v>
      </c>
    </row>
    <row r="8" customFormat="false" ht="45.75" hidden="false" customHeight="true" outlineLevel="0" collapsed="false">
      <c r="A8" s="9" t="n">
        <v>4</v>
      </c>
      <c r="B8" s="15" t="s">
        <v>142</v>
      </c>
      <c r="C8" s="16" t="s">
        <v>143</v>
      </c>
      <c r="D8" s="9" t="n">
        <v>8</v>
      </c>
      <c r="E8" s="16" t="s">
        <v>133</v>
      </c>
      <c r="F8" s="16" t="s">
        <v>140</v>
      </c>
      <c r="G8" s="11" t="s">
        <v>144</v>
      </c>
    </row>
    <row r="9" customFormat="false" ht="45.75" hidden="false" customHeight="true" outlineLevel="0" collapsed="false">
      <c r="A9" s="5" t="n">
        <v>5</v>
      </c>
      <c r="B9" s="13" t="s">
        <v>145</v>
      </c>
      <c r="C9" s="14" t="s">
        <v>146</v>
      </c>
      <c r="D9" s="5" t="n">
        <v>8</v>
      </c>
      <c r="E9" s="14" t="s">
        <v>133</v>
      </c>
      <c r="F9" s="14" t="s">
        <v>140</v>
      </c>
      <c r="G9" s="7" t="s">
        <v>147</v>
      </c>
    </row>
    <row r="10" customFormat="false" ht="24" hidden="false" customHeight="true" outlineLevel="0" collapsed="false">
      <c r="A10" s="17"/>
      <c r="B10" s="17" t="s">
        <v>148</v>
      </c>
      <c r="C10" s="17"/>
      <c r="D10" s="18" t="n">
        <f aca="false">SUM(D5:D9)</f>
        <v>45</v>
      </c>
      <c r="E10" s="17" t="s">
        <v>149</v>
      </c>
      <c r="F10" s="17"/>
      <c r="G10" s="17" t="s">
        <v>150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36"/>
    <col collapsed="false" customWidth="true" hidden="false" outlineLevel="0" max="6" min="5" style="0" width="40"/>
  </cols>
  <sheetData>
    <row r="1" customFormat="false" ht="25.5" hidden="false" customHeight="true" outlineLevel="0" collapsed="false">
      <c r="A1" s="1" t="s">
        <v>151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152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3" t="s">
        <v>153</v>
      </c>
      <c r="B4" s="3" t="s">
        <v>3</v>
      </c>
      <c r="C4" s="4" t="s">
        <v>154</v>
      </c>
      <c r="D4" s="4" t="s">
        <v>155</v>
      </c>
      <c r="E4" s="4" t="s">
        <v>156</v>
      </c>
      <c r="F4" s="4" t="s">
        <v>157</v>
      </c>
    </row>
    <row r="5" customFormat="false" ht="48" hidden="false" customHeight="true" outlineLevel="0" collapsed="false">
      <c r="A5" s="6" t="n">
        <v>1</v>
      </c>
      <c r="B5" s="6" t="s">
        <v>9</v>
      </c>
      <c r="C5" s="7" t="s">
        <v>158</v>
      </c>
      <c r="D5" s="7" t="s">
        <v>159</v>
      </c>
      <c r="E5" s="7" t="s">
        <v>160</v>
      </c>
      <c r="F5" s="19" t="s">
        <v>161</v>
      </c>
    </row>
    <row r="6" customFormat="false" ht="48" hidden="false" customHeight="true" outlineLevel="0" collapsed="false">
      <c r="A6" s="10" t="n">
        <v>10</v>
      </c>
      <c r="B6" s="10" t="s">
        <v>49</v>
      </c>
      <c r="C6" s="11" t="s">
        <v>162</v>
      </c>
      <c r="D6" s="11" t="s">
        <v>163</v>
      </c>
      <c r="E6" s="11" t="s">
        <v>164</v>
      </c>
      <c r="F6" s="19" t="s">
        <v>165</v>
      </c>
    </row>
    <row r="7" customFormat="false" ht="48" hidden="false" customHeight="true" outlineLevel="0" collapsed="false">
      <c r="A7" s="6" t="n">
        <v>24</v>
      </c>
      <c r="B7" s="6" t="s">
        <v>108</v>
      </c>
      <c r="C7" s="7" t="s">
        <v>166</v>
      </c>
      <c r="D7" s="7" t="s">
        <v>167</v>
      </c>
      <c r="E7" s="7" t="s">
        <v>168</v>
      </c>
      <c r="F7" s="19" t="s">
        <v>169</v>
      </c>
    </row>
    <row r="8" customFormat="false" ht="48" hidden="false" customHeight="true" outlineLevel="0" collapsed="false">
      <c r="A8" s="10" t="n">
        <v>25</v>
      </c>
      <c r="B8" s="10" t="s">
        <v>112</v>
      </c>
      <c r="C8" s="11" t="s">
        <v>170</v>
      </c>
      <c r="D8" s="11" t="s">
        <v>171</v>
      </c>
      <c r="E8" s="11" t="s">
        <v>172</v>
      </c>
      <c r="F8" s="12" t="s">
        <v>173</v>
      </c>
    </row>
    <row r="9" customFormat="false" ht="48" hidden="false" customHeight="true" outlineLevel="0" collapsed="false">
      <c r="A9" s="6" t="n">
        <v>26</v>
      </c>
      <c r="B9" s="6" t="s">
        <v>117</v>
      </c>
      <c r="C9" s="7" t="s">
        <v>174</v>
      </c>
      <c r="D9" s="7" t="s">
        <v>175</v>
      </c>
      <c r="E9" s="7" t="s">
        <v>176</v>
      </c>
      <c r="F9" s="12" t="s">
        <v>177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56"/>
  </cols>
  <sheetData>
    <row r="1" customFormat="false" ht="25.5" hidden="false" customHeight="true" outlineLevel="0" collapsed="false">
      <c r="A1" s="1" t="s">
        <v>178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179</v>
      </c>
      <c r="B2" s="2"/>
      <c r="C2" s="2"/>
      <c r="D2" s="2"/>
      <c r="E2" s="2"/>
    </row>
    <row r="4" customFormat="false" ht="25.5" hidden="false" customHeight="true" outlineLevel="0" collapsed="false">
      <c r="A4" s="3" t="s">
        <v>2</v>
      </c>
      <c r="B4" s="4" t="s">
        <v>180</v>
      </c>
      <c r="C4" s="3" t="s">
        <v>181</v>
      </c>
      <c r="D4" s="3" t="s">
        <v>182</v>
      </c>
      <c r="E4" s="4" t="s">
        <v>183</v>
      </c>
    </row>
    <row r="5" customFormat="false" ht="25.5" hidden="false" customHeight="true" outlineLevel="0" collapsed="false">
      <c r="A5" s="5" t="n">
        <v>1</v>
      </c>
      <c r="B5" s="13" t="s">
        <v>10</v>
      </c>
      <c r="C5" s="5" t="n">
        <v>2</v>
      </c>
      <c r="D5" s="20" t="n">
        <f aca="false">COUNTIFS(Реєстр!C5:C30, "Однозначність", Реєстр!G5:G30, "Прийнято")</f>
        <v>4</v>
      </c>
      <c r="E5" s="7" t="s">
        <v>184</v>
      </c>
    </row>
    <row r="6" customFormat="false" ht="25.5" hidden="false" customHeight="true" outlineLevel="0" collapsed="false">
      <c r="A6" s="9" t="n">
        <v>2</v>
      </c>
      <c r="B6" s="15" t="s">
        <v>28</v>
      </c>
      <c r="C6" s="9" t="n">
        <v>2</v>
      </c>
      <c r="D6" s="21" t="n">
        <f aca="false">COUNTIFS(Реєстр!C5:C30, "Повнота", Реєстр!G5:G30, "Прийнято")</f>
        <v>4</v>
      </c>
      <c r="E6" s="11" t="s">
        <v>185</v>
      </c>
    </row>
    <row r="7" customFormat="false" ht="25.5" hidden="false" customHeight="true" outlineLevel="0" collapsed="false">
      <c r="A7" s="5" t="n">
        <v>3</v>
      </c>
      <c r="B7" s="13" t="s">
        <v>45</v>
      </c>
      <c r="C7" s="5" t="n">
        <v>2</v>
      </c>
      <c r="D7" s="20" t="n">
        <f aca="false">COUNTIFS(Реєстр!C5:C30, "Несуперечливість", Реєстр!G5:G30, "Прийнято")</f>
        <v>4</v>
      </c>
      <c r="E7" s="7" t="s">
        <v>186</v>
      </c>
    </row>
    <row r="8" customFormat="false" ht="25.5" hidden="false" customHeight="true" outlineLevel="0" collapsed="false">
      <c r="A8" s="9" t="n">
        <v>4</v>
      </c>
      <c r="B8" s="15" t="s">
        <v>62</v>
      </c>
      <c r="C8" s="9" t="n">
        <v>2</v>
      </c>
      <c r="D8" s="21" t="n">
        <f aca="false">COUNTIFS(Реєстр!C5:C30, "Простежуваність", Реєстр!G5:G30, "Прийнято")</f>
        <v>4</v>
      </c>
      <c r="E8" s="11" t="s">
        <v>187</v>
      </c>
    </row>
    <row r="9" customFormat="false" ht="25.5" hidden="false" customHeight="true" outlineLevel="0" collapsed="false">
      <c r="A9" s="5" t="n">
        <v>5</v>
      </c>
      <c r="B9" s="13" t="s">
        <v>79</v>
      </c>
      <c r="C9" s="5" t="n">
        <v>2</v>
      </c>
      <c r="D9" s="20" t="n">
        <f aca="false">COUNTIFS(Реєстр!C5:C30, "Здійсненність", Реєстр!G5:G30, "Прийнято")</f>
        <v>4</v>
      </c>
      <c r="E9" s="7" t="s">
        <v>188</v>
      </c>
    </row>
    <row r="10" customFormat="false" ht="25.5" hidden="false" customHeight="true" outlineLevel="0" collapsed="false">
      <c r="A10" s="9" t="n">
        <v>6</v>
      </c>
      <c r="B10" s="15" t="s">
        <v>96</v>
      </c>
      <c r="C10" s="9" t="n">
        <v>2</v>
      </c>
      <c r="D10" s="21" t="n">
        <f aca="false">COUNTIFS(Реєстр!C5:C30, "Тестопридатність", Реєстр!G5:G30, "Прийнято")</f>
        <v>4</v>
      </c>
      <c r="E10" s="11" t="s">
        <v>189</v>
      </c>
    </row>
    <row r="11" customFormat="false" ht="25.5" hidden="false" customHeight="true" outlineLevel="0" collapsed="false">
      <c r="A11" s="17"/>
      <c r="B11" s="17" t="s">
        <v>190</v>
      </c>
      <c r="C11" s="18" t="n">
        <v>12</v>
      </c>
      <c r="D11" s="18" t="n">
        <f aca="false">SUM(D5:D10)</f>
        <v>24</v>
      </c>
      <c r="E11" s="17" t="s">
        <v>191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62"/>
    <col collapsed="false" customWidth="true" hidden="false" outlineLevel="0" max="5" min="5" style="0" width="40"/>
  </cols>
  <sheetData>
    <row r="1" customFormat="false" ht="25.5" hidden="false" customHeight="true" outlineLevel="0" collapsed="false">
      <c r="A1" s="1" t="s">
        <v>192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193</v>
      </c>
      <c r="B2" s="2"/>
      <c r="C2" s="2"/>
      <c r="D2" s="2"/>
      <c r="E2" s="2"/>
    </row>
    <row r="4" customFormat="false" ht="25.5" hidden="false" customHeight="true" outlineLevel="0" collapsed="false">
      <c r="A4" s="3" t="s">
        <v>194</v>
      </c>
      <c r="B4" s="3" t="s">
        <v>3</v>
      </c>
      <c r="C4" s="4" t="s">
        <v>195</v>
      </c>
      <c r="D4" s="4" t="s">
        <v>196</v>
      </c>
      <c r="E4" s="4" t="s">
        <v>197</v>
      </c>
    </row>
    <row r="5" customFormat="false" ht="36" hidden="false" customHeight="true" outlineLevel="0" collapsed="false">
      <c r="A5" s="6" t="s">
        <v>198</v>
      </c>
      <c r="B5" s="6" t="s">
        <v>27</v>
      </c>
      <c r="C5" s="7" t="s">
        <v>199</v>
      </c>
      <c r="D5" s="7" t="s">
        <v>200</v>
      </c>
      <c r="E5" s="19" t="s">
        <v>201</v>
      </c>
    </row>
    <row r="6" customFormat="false" ht="36" hidden="false" customHeight="true" outlineLevel="0" collapsed="false">
      <c r="A6" s="10" t="s">
        <v>202</v>
      </c>
      <c r="B6" s="10" t="s">
        <v>49</v>
      </c>
      <c r="C6" s="11" t="s">
        <v>203</v>
      </c>
      <c r="D6" s="11" t="s">
        <v>204</v>
      </c>
      <c r="E6" s="19" t="s">
        <v>205</v>
      </c>
    </row>
    <row r="7" customFormat="false" ht="36" hidden="false" customHeight="true" outlineLevel="0" collapsed="false">
      <c r="A7" s="6" t="s">
        <v>206</v>
      </c>
      <c r="B7" s="6" t="s">
        <v>78</v>
      </c>
      <c r="C7" s="7" t="s">
        <v>207</v>
      </c>
      <c r="D7" s="7" t="s">
        <v>208</v>
      </c>
      <c r="E7" s="19" t="s">
        <v>209</v>
      </c>
    </row>
    <row r="8" customFormat="false" ht="36" hidden="false" customHeight="true" outlineLevel="0" collapsed="false">
      <c r="A8" s="10" t="s">
        <v>210</v>
      </c>
      <c r="B8" s="10" t="s">
        <v>9</v>
      </c>
      <c r="C8" s="11" t="s">
        <v>211</v>
      </c>
      <c r="D8" s="11" t="s">
        <v>212</v>
      </c>
      <c r="E8" s="19" t="s">
        <v>213</v>
      </c>
    </row>
    <row r="9" customFormat="false" ht="36" hidden="false" customHeight="true" outlineLevel="0" collapsed="false">
      <c r="A9" s="6" t="s">
        <v>214</v>
      </c>
      <c r="B9" s="6" t="s">
        <v>61</v>
      </c>
      <c r="C9" s="7" t="s">
        <v>215</v>
      </c>
      <c r="D9" s="7" t="s">
        <v>216</v>
      </c>
      <c r="E9" s="19" t="s">
        <v>217</v>
      </c>
    </row>
    <row r="10" customFormat="false" ht="36" hidden="false" customHeight="true" outlineLevel="0" collapsed="false">
      <c r="A10" s="10" t="s">
        <v>218</v>
      </c>
      <c r="B10" s="10" t="s">
        <v>44</v>
      </c>
      <c r="C10" s="11" t="s">
        <v>203</v>
      </c>
      <c r="D10" s="11" t="s">
        <v>219</v>
      </c>
      <c r="E10" s="19" t="s">
        <v>220</v>
      </c>
    </row>
    <row r="11" customFormat="false" ht="36" hidden="false" customHeight="true" outlineLevel="0" collapsed="false">
      <c r="A11" s="6" t="s">
        <v>221</v>
      </c>
      <c r="B11" s="6" t="s">
        <v>15</v>
      </c>
      <c r="C11" s="7" t="s">
        <v>211</v>
      </c>
      <c r="D11" s="7" t="s">
        <v>222</v>
      </c>
      <c r="E11" s="19" t="s">
        <v>223</v>
      </c>
    </row>
    <row r="12" customFormat="false" ht="36" hidden="false" customHeight="true" outlineLevel="0" collapsed="false">
      <c r="A12" s="10" t="s">
        <v>224</v>
      </c>
      <c r="B12" s="10" t="s">
        <v>225</v>
      </c>
      <c r="C12" s="11" t="s">
        <v>226</v>
      </c>
      <c r="D12" s="11" t="s">
        <v>227</v>
      </c>
      <c r="E12" s="19" t="s">
        <v>228</v>
      </c>
    </row>
    <row r="13" customFormat="false" ht="36" hidden="false" customHeight="true" outlineLevel="0" collapsed="false">
      <c r="A13" s="6" t="s">
        <v>229</v>
      </c>
      <c r="B13" s="6" t="s">
        <v>19</v>
      </c>
      <c r="C13" s="7" t="s">
        <v>230</v>
      </c>
      <c r="D13" s="7" t="s">
        <v>231</v>
      </c>
      <c r="E13" s="19" t="s">
        <v>232</v>
      </c>
    </row>
    <row r="14" customFormat="false" ht="36" hidden="false" customHeight="true" outlineLevel="0" collapsed="false">
      <c r="A14" s="10" t="s">
        <v>233</v>
      </c>
      <c r="B14" s="10" t="s">
        <v>95</v>
      </c>
      <c r="C14" s="11" t="s">
        <v>234</v>
      </c>
      <c r="D14" s="11" t="s">
        <v>235</v>
      </c>
      <c r="E14" s="19" t="s">
        <v>236</v>
      </c>
    </row>
    <row r="15" customFormat="false" ht="36" hidden="false" customHeight="true" outlineLevel="0" collapsed="false">
      <c r="A15" s="6" t="s">
        <v>237</v>
      </c>
      <c r="B15" s="6" t="s">
        <v>57</v>
      </c>
      <c r="C15" s="7" t="s">
        <v>203</v>
      </c>
      <c r="D15" s="7" t="s">
        <v>238</v>
      </c>
      <c r="E15" s="19" t="s">
        <v>239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62"/>
    <col collapsed="false" customWidth="true" hidden="false" outlineLevel="0" max="5" min="5" style="0" width="40"/>
  </cols>
  <sheetData>
    <row r="1" customFormat="false" ht="25.5" hidden="false" customHeight="true" outlineLevel="0" collapsed="false">
      <c r="A1" s="1" t="s">
        <v>240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241</v>
      </c>
      <c r="B2" s="2"/>
      <c r="C2" s="2"/>
      <c r="D2" s="2"/>
      <c r="E2" s="2"/>
    </row>
    <row r="4" customFormat="false" ht="25.5" hidden="false" customHeight="true" outlineLevel="0" collapsed="false">
      <c r="A4" s="3" t="s">
        <v>194</v>
      </c>
      <c r="B4" s="3" t="s">
        <v>3</v>
      </c>
      <c r="C4" s="4" t="s">
        <v>195</v>
      </c>
      <c r="D4" s="4" t="s">
        <v>196</v>
      </c>
      <c r="E4" s="4" t="s">
        <v>197</v>
      </c>
    </row>
    <row r="5" customFormat="false" ht="36" hidden="false" customHeight="true" outlineLevel="0" collapsed="false">
      <c r="A5" s="6" t="s">
        <v>242</v>
      </c>
      <c r="B5" s="6" t="s">
        <v>32</v>
      </c>
      <c r="C5" s="7" t="s">
        <v>243</v>
      </c>
      <c r="D5" s="7" t="s">
        <v>244</v>
      </c>
      <c r="E5" s="19" t="s">
        <v>245</v>
      </c>
    </row>
    <row r="6" customFormat="false" ht="36" hidden="false" customHeight="true" outlineLevel="0" collapsed="false">
      <c r="A6" s="10" t="s">
        <v>246</v>
      </c>
      <c r="B6" s="10" t="s">
        <v>49</v>
      </c>
      <c r="C6" s="11" t="s">
        <v>203</v>
      </c>
      <c r="D6" s="11" t="s">
        <v>247</v>
      </c>
      <c r="E6" s="19" t="s">
        <v>248</v>
      </c>
    </row>
    <row r="7" customFormat="false" ht="36" hidden="false" customHeight="true" outlineLevel="0" collapsed="false">
      <c r="A7" s="6" t="s">
        <v>249</v>
      </c>
      <c r="B7" s="6" t="s">
        <v>9</v>
      </c>
      <c r="C7" s="7" t="s">
        <v>250</v>
      </c>
      <c r="D7" s="7" t="s">
        <v>251</v>
      </c>
      <c r="E7" s="19" t="s">
        <v>252</v>
      </c>
    </row>
    <row r="8" customFormat="false" ht="36" hidden="false" customHeight="true" outlineLevel="0" collapsed="false">
      <c r="A8" s="10" t="s">
        <v>253</v>
      </c>
      <c r="B8" s="10" t="s">
        <v>53</v>
      </c>
      <c r="C8" s="11" t="s">
        <v>203</v>
      </c>
      <c r="D8" s="11" t="s">
        <v>254</v>
      </c>
      <c r="E8" s="19" t="s">
        <v>255</v>
      </c>
    </row>
    <row r="9" customFormat="false" ht="36" hidden="false" customHeight="true" outlineLevel="0" collapsed="false">
      <c r="A9" s="6" t="s">
        <v>256</v>
      </c>
      <c r="B9" s="6" t="s">
        <v>61</v>
      </c>
      <c r="C9" s="7" t="s">
        <v>257</v>
      </c>
      <c r="D9" s="7" t="s">
        <v>258</v>
      </c>
      <c r="E9" s="19" t="s">
        <v>259</v>
      </c>
    </row>
    <row r="10" customFormat="false" ht="36" hidden="false" customHeight="true" outlineLevel="0" collapsed="false">
      <c r="A10" s="10" t="s">
        <v>260</v>
      </c>
      <c r="B10" s="10" t="s">
        <v>78</v>
      </c>
      <c r="C10" s="11" t="s">
        <v>207</v>
      </c>
      <c r="D10" s="11" t="s">
        <v>261</v>
      </c>
      <c r="E10" s="19" t="s">
        <v>262</v>
      </c>
    </row>
    <row r="11" customFormat="false" ht="36" hidden="false" customHeight="true" outlineLevel="0" collapsed="false">
      <c r="A11" s="6" t="s">
        <v>263</v>
      </c>
      <c r="B11" s="6" t="s">
        <v>40</v>
      </c>
      <c r="C11" s="7" t="s">
        <v>264</v>
      </c>
      <c r="D11" s="7" t="s">
        <v>265</v>
      </c>
      <c r="E11" s="19" t="s">
        <v>266</v>
      </c>
    </row>
    <row r="12" customFormat="false" ht="36" hidden="false" customHeight="true" outlineLevel="0" collapsed="false">
      <c r="A12" s="10" t="s">
        <v>267</v>
      </c>
      <c r="B12" s="10" t="s">
        <v>87</v>
      </c>
      <c r="C12" s="11" t="s">
        <v>207</v>
      </c>
      <c r="D12" s="11" t="s">
        <v>268</v>
      </c>
      <c r="E12" s="19" t="s">
        <v>269</v>
      </c>
    </row>
    <row r="13" customFormat="false" ht="36" hidden="false" customHeight="true" outlineLevel="0" collapsed="false">
      <c r="A13" s="6" t="s">
        <v>270</v>
      </c>
      <c r="B13" s="6" t="s">
        <v>91</v>
      </c>
      <c r="C13" s="7" t="s">
        <v>207</v>
      </c>
      <c r="D13" s="7" t="s">
        <v>271</v>
      </c>
      <c r="E13" s="19" t="s">
        <v>272</v>
      </c>
    </row>
    <row r="14" customFormat="false" ht="36" hidden="false" customHeight="true" outlineLevel="0" collapsed="false">
      <c r="A14" s="10" t="s">
        <v>273</v>
      </c>
      <c r="B14" s="10" t="s">
        <v>104</v>
      </c>
      <c r="C14" s="11" t="s">
        <v>234</v>
      </c>
      <c r="D14" s="11" t="s">
        <v>274</v>
      </c>
      <c r="E14" s="19" t="s">
        <v>275</v>
      </c>
    </row>
    <row r="15" customFormat="false" ht="36" hidden="false" customHeight="true" outlineLevel="0" collapsed="false">
      <c r="A15" s="6" t="s">
        <v>276</v>
      </c>
      <c r="B15" s="6" t="s">
        <v>74</v>
      </c>
      <c r="C15" s="7" t="s">
        <v>277</v>
      </c>
      <c r="D15" s="7" t="s">
        <v>278</v>
      </c>
      <c r="E15" s="19" t="s">
        <v>279</v>
      </c>
    </row>
    <row r="16" customFormat="false" ht="36" hidden="false" customHeight="true" outlineLevel="0" collapsed="false">
      <c r="A16" s="10" t="s">
        <v>280</v>
      </c>
      <c r="B16" s="10" t="s">
        <v>117</v>
      </c>
      <c r="C16" s="11" t="s">
        <v>45</v>
      </c>
      <c r="D16" s="11" t="s">
        <v>281</v>
      </c>
      <c r="E16" s="12" t="s">
        <v>282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62"/>
    <col collapsed="false" customWidth="true" hidden="false" outlineLevel="0" max="5" min="5" style="0" width="40"/>
  </cols>
  <sheetData>
    <row r="1" customFormat="false" ht="25.5" hidden="false" customHeight="true" outlineLevel="0" collapsed="false">
      <c r="A1" s="1" t="s">
        <v>283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284</v>
      </c>
      <c r="B2" s="2"/>
      <c r="C2" s="2"/>
      <c r="D2" s="2"/>
      <c r="E2" s="2"/>
    </row>
    <row r="4" customFormat="false" ht="25.5" hidden="false" customHeight="true" outlineLevel="0" collapsed="false">
      <c r="A4" s="3" t="s">
        <v>194</v>
      </c>
      <c r="B4" s="3" t="s">
        <v>3</v>
      </c>
      <c r="C4" s="4" t="s">
        <v>195</v>
      </c>
      <c r="D4" s="4" t="s">
        <v>196</v>
      </c>
      <c r="E4" s="4" t="s">
        <v>197</v>
      </c>
    </row>
    <row r="5" customFormat="false" ht="36" hidden="false" customHeight="true" outlineLevel="0" collapsed="false">
      <c r="A5" s="6" t="s">
        <v>285</v>
      </c>
      <c r="B5" s="6" t="s">
        <v>286</v>
      </c>
      <c r="C5" s="7" t="s">
        <v>203</v>
      </c>
      <c r="D5" s="7" t="s">
        <v>287</v>
      </c>
      <c r="E5" s="19" t="s">
        <v>288</v>
      </c>
    </row>
    <row r="6" customFormat="false" ht="36" hidden="false" customHeight="true" outlineLevel="0" collapsed="false">
      <c r="A6" s="10" t="s">
        <v>289</v>
      </c>
      <c r="B6" s="10" t="s">
        <v>290</v>
      </c>
      <c r="C6" s="11" t="s">
        <v>226</v>
      </c>
      <c r="D6" s="11" t="s">
        <v>291</v>
      </c>
      <c r="E6" s="19" t="s">
        <v>292</v>
      </c>
    </row>
    <row r="7" customFormat="false" ht="36" hidden="false" customHeight="true" outlineLevel="0" collapsed="false">
      <c r="A7" s="6" t="s">
        <v>293</v>
      </c>
      <c r="B7" s="6" t="s">
        <v>19</v>
      </c>
      <c r="C7" s="7" t="s">
        <v>211</v>
      </c>
      <c r="D7" s="7" t="s">
        <v>294</v>
      </c>
      <c r="E7" s="19" t="s">
        <v>295</v>
      </c>
    </row>
    <row r="8" customFormat="false" ht="36" hidden="false" customHeight="true" outlineLevel="0" collapsed="false">
      <c r="A8" s="10" t="s">
        <v>296</v>
      </c>
      <c r="B8" s="10" t="s">
        <v>36</v>
      </c>
      <c r="C8" s="11" t="s">
        <v>243</v>
      </c>
      <c r="D8" s="11" t="s">
        <v>297</v>
      </c>
      <c r="E8" s="19" t="s">
        <v>298</v>
      </c>
    </row>
    <row r="9" customFormat="false" ht="36" hidden="false" customHeight="true" outlineLevel="0" collapsed="false">
      <c r="A9" s="6" t="s">
        <v>299</v>
      </c>
      <c r="B9" s="6" t="s">
        <v>57</v>
      </c>
      <c r="C9" s="7" t="s">
        <v>203</v>
      </c>
      <c r="D9" s="7" t="s">
        <v>300</v>
      </c>
      <c r="E9" s="19" t="s">
        <v>301</v>
      </c>
    </row>
    <row r="10" customFormat="false" ht="36" hidden="false" customHeight="true" outlineLevel="0" collapsed="false">
      <c r="A10" s="10" t="s">
        <v>302</v>
      </c>
      <c r="B10" s="10" t="s">
        <v>303</v>
      </c>
      <c r="C10" s="11" t="s">
        <v>203</v>
      </c>
      <c r="D10" s="11" t="s">
        <v>304</v>
      </c>
      <c r="E10" s="19" t="s">
        <v>305</v>
      </c>
    </row>
    <row r="11" customFormat="false" ht="36" hidden="false" customHeight="true" outlineLevel="0" collapsed="false">
      <c r="A11" s="6" t="s">
        <v>306</v>
      </c>
      <c r="B11" s="6" t="s">
        <v>23</v>
      </c>
      <c r="C11" s="7" t="s">
        <v>307</v>
      </c>
      <c r="D11" s="7" t="s">
        <v>308</v>
      </c>
      <c r="E11" s="19" t="s">
        <v>309</v>
      </c>
    </row>
    <row r="12" customFormat="false" ht="36" hidden="false" customHeight="true" outlineLevel="0" collapsed="false">
      <c r="A12" s="10" t="s">
        <v>310</v>
      </c>
      <c r="B12" s="10" t="s">
        <v>83</v>
      </c>
      <c r="C12" s="11" t="s">
        <v>207</v>
      </c>
      <c r="D12" s="11" t="s">
        <v>311</v>
      </c>
      <c r="E12" s="19" t="s">
        <v>312</v>
      </c>
    </row>
    <row r="13" customFormat="false" ht="36" hidden="false" customHeight="true" outlineLevel="0" collapsed="false">
      <c r="A13" s="6" t="s">
        <v>313</v>
      </c>
      <c r="B13" s="6" t="s">
        <v>100</v>
      </c>
      <c r="C13" s="7" t="s">
        <v>234</v>
      </c>
      <c r="D13" s="7" t="s">
        <v>314</v>
      </c>
      <c r="E13" s="19" t="s">
        <v>315</v>
      </c>
    </row>
    <row r="14" customFormat="false" ht="36" hidden="false" customHeight="true" outlineLevel="0" collapsed="false">
      <c r="A14" s="10" t="s">
        <v>316</v>
      </c>
      <c r="B14" s="10" t="s">
        <v>317</v>
      </c>
      <c r="C14" s="11" t="s">
        <v>226</v>
      </c>
      <c r="D14" s="11" t="s">
        <v>318</v>
      </c>
      <c r="E14" s="19" t="s">
        <v>319</v>
      </c>
    </row>
    <row r="15" customFormat="false" ht="36" hidden="false" customHeight="true" outlineLevel="0" collapsed="false">
      <c r="A15" s="6" t="s">
        <v>320</v>
      </c>
      <c r="B15" s="6" t="s">
        <v>87</v>
      </c>
      <c r="C15" s="7" t="s">
        <v>207</v>
      </c>
      <c r="D15" s="7" t="s">
        <v>321</v>
      </c>
      <c r="E15" s="19" t="s">
        <v>322</v>
      </c>
    </row>
    <row r="16" customFormat="false" ht="36" hidden="false" customHeight="true" outlineLevel="0" collapsed="false">
      <c r="A16" s="10" t="s">
        <v>323</v>
      </c>
      <c r="B16" s="10" t="s">
        <v>108</v>
      </c>
      <c r="C16" s="11" t="s">
        <v>234</v>
      </c>
      <c r="D16" s="11" t="s">
        <v>324</v>
      </c>
      <c r="E16" s="19" t="s">
        <v>325</v>
      </c>
    </row>
    <row r="17" customFormat="false" ht="36" hidden="false" customHeight="true" outlineLevel="0" collapsed="false">
      <c r="A17" s="6" t="s">
        <v>326</v>
      </c>
      <c r="B17" s="6" t="s">
        <v>112</v>
      </c>
      <c r="C17" s="7" t="s">
        <v>45</v>
      </c>
      <c r="D17" s="7" t="s">
        <v>327</v>
      </c>
      <c r="E17" s="12" t="s">
        <v>328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2026-10-20T11:06:06Z</dcterms:created>
  <dc:creator>openpyxl</dc:creator>
  <dc:description/>
  <dc:language>en-US</dc:language>
  <cp:lastModifiedBy/>
  <dcterms:modified xsi:type="dcterms:W3CDTF">2026-10-20T11:06:06Z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